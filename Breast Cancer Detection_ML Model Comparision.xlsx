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8_{951B90BC-8F80-4857-8EA8-A32246CE02B3}" xr6:coauthVersionLast="47" xr6:coauthVersionMax="47" xr10:uidLastSave="{00000000-0000-0000-0000-000000000000}"/>
  <bookViews>
    <workbookView xWindow="-98" yWindow="-98" windowWidth="23236" windowHeight="13875" activeTab="2" xr2:uid="{6C9E76AC-50FD-44B8-88B5-798FC16CBC17}"/>
  </bookViews>
  <sheets>
    <sheet name="J48 Decision Tree Data" sheetId="1" r:id="rId1"/>
    <sheet name="Neural Network Data" sheetId="2" r:id="rId2"/>
    <sheet name="F - Test" sheetId="4" r:id="rId3"/>
    <sheet name="Model Analysis" sheetId="3" r:id="rId4"/>
    <sheet name="Chart Representing Resul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7" i="5"/>
  <c r="D88" i="5"/>
  <c r="D103" i="5"/>
  <c r="D104" i="5"/>
  <c r="D107" i="5"/>
  <c r="D108" i="5"/>
  <c r="D2" i="5"/>
  <c r="C3" i="5"/>
  <c r="C7" i="5"/>
  <c r="C23" i="5"/>
  <c r="C27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2" i="5"/>
  <c r="B3" i="5"/>
  <c r="B4" i="5"/>
  <c r="C4" i="5" s="1"/>
  <c r="B5" i="5"/>
  <c r="C5" i="5" s="1"/>
  <c r="B6" i="5"/>
  <c r="C6" i="5" s="1"/>
  <c r="B7" i="5"/>
  <c r="B8" i="5"/>
  <c r="C8" i="5" s="1"/>
  <c r="B9" i="5"/>
  <c r="C9" i="5" s="1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B16" i="5"/>
  <c r="C16" i="5" s="1"/>
  <c r="B17" i="5"/>
  <c r="C17" i="5" s="1"/>
  <c r="B18" i="5"/>
  <c r="C18" i="5" s="1"/>
  <c r="B19" i="5"/>
  <c r="C19" i="5" s="1"/>
  <c r="B20" i="5"/>
  <c r="C20" i="5" s="1"/>
  <c r="B21" i="5"/>
  <c r="B124" i="5" s="1"/>
  <c r="B22" i="5"/>
  <c r="C22" i="5" s="1"/>
  <c r="B23" i="5"/>
  <c r="B24" i="5"/>
  <c r="C24" i="5" s="1"/>
  <c r="B25" i="5"/>
  <c r="C25" i="5" s="1"/>
  <c r="B26" i="5"/>
  <c r="C26" i="5" s="1"/>
  <c r="B27" i="5"/>
  <c r="B28" i="5"/>
  <c r="C28" i="5" s="1"/>
  <c r="B29" i="5"/>
  <c r="C29" i="5" s="1"/>
  <c r="B30" i="5"/>
  <c r="C30" i="5" s="1"/>
  <c r="B31" i="5"/>
  <c r="C31" i="5" s="1"/>
  <c r="B32" i="5"/>
  <c r="C32" i="5" s="1"/>
  <c r="B33" i="5"/>
  <c r="C33" i="5" s="1"/>
  <c r="B34" i="5"/>
  <c r="C34" i="5" s="1"/>
  <c r="B35" i="5"/>
  <c r="C35" i="5" s="1"/>
  <c r="B36" i="5"/>
  <c r="C36" i="5" s="1"/>
  <c r="B37" i="5"/>
  <c r="C37" i="5" s="1"/>
  <c r="B38" i="5"/>
  <c r="C38" i="5" s="1"/>
  <c r="B39" i="5"/>
  <c r="C39" i="5" s="1"/>
  <c r="B40" i="5"/>
  <c r="C40" i="5" s="1"/>
  <c r="B41" i="5"/>
  <c r="C41" i="5" s="1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D85" i="5" s="1"/>
  <c r="B86" i="5"/>
  <c r="D86" i="5" s="1"/>
  <c r="B87" i="5"/>
  <c r="B88" i="5"/>
  <c r="B89" i="5"/>
  <c r="D89" i="5" s="1"/>
  <c r="B90" i="5"/>
  <c r="D90" i="5" s="1"/>
  <c r="B91" i="5"/>
  <c r="D91" i="5" s="1"/>
  <c r="B92" i="5"/>
  <c r="D92" i="5" s="1"/>
  <c r="B93" i="5"/>
  <c r="D93" i="5" s="1"/>
  <c r="B94" i="5"/>
  <c r="D94" i="5" s="1"/>
  <c r="B95" i="5"/>
  <c r="D95" i="5" s="1"/>
  <c r="B96" i="5"/>
  <c r="D96" i="5" s="1"/>
  <c r="B97" i="5"/>
  <c r="D97" i="5" s="1"/>
  <c r="B98" i="5"/>
  <c r="D98" i="5" s="1"/>
  <c r="B99" i="5"/>
  <c r="D99" i="5" s="1"/>
  <c r="B100" i="5"/>
  <c r="D100" i="5" s="1"/>
  <c r="B101" i="5"/>
  <c r="D101" i="5" s="1"/>
  <c r="B102" i="5"/>
  <c r="D102" i="5" s="1"/>
  <c r="B103" i="5"/>
  <c r="B104" i="5"/>
  <c r="B105" i="5"/>
  <c r="D105" i="5" s="1"/>
  <c r="B106" i="5"/>
  <c r="D106" i="5" s="1"/>
  <c r="B107" i="5"/>
  <c r="B108" i="5"/>
  <c r="B109" i="5"/>
  <c r="D109" i="5" s="1"/>
  <c r="B110" i="5"/>
  <c r="D110" i="5" s="1"/>
  <c r="B111" i="5"/>
  <c r="D111" i="5" s="1"/>
  <c r="B112" i="5"/>
  <c r="D112" i="5" s="1"/>
  <c r="B113" i="5"/>
  <c r="D113" i="5" s="1"/>
  <c r="B114" i="5"/>
  <c r="D114" i="5" s="1"/>
  <c r="B115" i="5"/>
  <c r="D115" i="5" s="1"/>
  <c r="B116" i="5"/>
  <c r="D116" i="5" s="1"/>
  <c r="B117" i="5"/>
  <c r="D117" i="5" s="1"/>
  <c r="B118" i="5"/>
  <c r="D118" i="5" s="1"/>
  <c r="B119" i="5"/>
  <c r="D119" i="5" s="1"/>
  <c r="B120" i="5"/>
  <c r="D120" i="5" s="1"/>
  <c r="B121" i="5"/>
  <c r="D121" i="5" s="1"/>
  <c r="B122" i="5"/>
  <c r="D122" i="5" s="1"/>
  <c r="B2" i="5"/>
  <c r="C21" i="5" l="1"/>
</calcChain>
</file>

<file path=xl/sharedStrings.xml><?xml version="1.0" encoding="utf-8"?>
<sst xmlns="http://schemas.openxmlformats.org/spreadsheetml/2006/main" count="41" uniqueCount="30">
  <si>
    <t>Trail Number</t>
  </si>
  <si>
    <t xml:space="preserve">Correctly Classified Instances </t>
  </si>
  <si>
    <t xml:space="preserve">Incorrectly Classified Instances </t>
  </si>
  <si>
    <t>Correctly Classified Instances in Percentage</t>
  </si>
  <si>
    <t>Incorrectly Classified Instances in Percentage</t>
  </si>
  <si>
    <t>F - Test to Determine If There is Equal Variance</t>
  </si>
  <si>
    <t>F-Test Two-Sample for Variances</t>
  </si>
  <si>
    <t>Mean</t>
  </si>
  <si>
    <t>Variance</t>
  </si>
  <si>
    <t>Observations</t>
  </si>
  <si>
    <t>df</t>
  </si>
  <si>
    <t>F</t>
  </si>
  <si>
    <t>P(F&lt;=f) one-tail</t>
  </si>
  <si>
    <t>F Critical one-tail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</si>
  <si>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</si>
  <si>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</si>
  <si>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</si>
  <si>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</si>
  <si>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</si>
  <si>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</si>
  <si>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Pooled Variance</t>
  </si>
  <si>
    <t>t-Test: Two-Sample Assuming Equal Variances using a significance level of 0.05</t>
  </si>
  <si>
    <t>Statistic</t>
  </si>
  <si>
    <t>A(T-Values)</t>
  </si>
  <si>
    <t>B(PDF)</t>
  </si>
  <si>
    <t>C(Left Tail)</t>
  </si>
  <si>
    <t>D(Right Tail)</t>
  </si>
  <si>
    <t>Decision Tree (J48)</t>
  </si>
  <si>
    <t>Neural Network</t>
  </si>
  <si>
    <t>Max value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</si>
</sst>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12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5E0D719D-A3A3-46DE-917A-A2DA5FBB93BD}"/>
  </tableStyles>
  <colors>
    <mruColors>
      <color rgb="FFFF99CC"/>
      <color rgb="FFFFCC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</a:t>
            </a:r>
            <a:r>
              <a:rPr lang="en-US" baseline="0"/>
              <a:t>- Distribution with Test Statistic and Rejection Regions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Representing Result'!$B$1</c:f>
              <c:strCache>
                <c:ptCount val="1"/>
                <c:pt idx="0">
                  <c:v>B(PDF)</c:v>
                </c:pt>
              </c:strCache>
            </c:strRef>
          </c:tx>
          <c:spPr>
            <a:ln w="19050" cap="rnd">
              <a:solidFill>
                <a:schemeClr val="accent1"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'Chart Representing Result'!$A$2:$A$122</c:f>
              <c:numCache>
                <c:formatCode>General</c:formatCode>
                <c:ptCount val="121"/>
                <c:pt idx="0">
                  <c:v>-6</c:v>
                </c:pt>
                <c:pt idx="1">
                  <c:v>-5.9</c:v>
                </c:pt>
                <c:pt idx="2">
                  <c:v>-5.8</c:v>
                </c:pt>
                <c:pt idx="3">
                  <c:v>-5.7</c:v>
                </c:pt>
                <c:pt idx="4">
                  <c:v>-5.6</c:v>
                </c:pt>
                <c:pt idx="5">
                  <c:v>-5.5</c:v>
                </c:pt>
                <c:pt idx="6">
                  <c:v>-5.4</c:v>
                </c:pt>
                <c:pt idx="7">
                  <c:v>-5.3</c:v>
                </c:pt>
                <c:pt idx="8">
                  <c:v>-5.2</c:v>
                </c:pt>
                <c:pt idx="9">
                  <c:v>-5.0999999999999996</c:v>
                </c:pt>
                <c:pt idx="10">
                  <c:v>-5</c:v>
                </c:pt>
                <c:pt idx="11">
                  <c:v>-4.9000000000000004</c:v>
                </c:pt>
                <c:pt idx="12">
                  <c:v>-4.8</c:v>
                </c:pt>
                <c:pt idx="13">
                  <c:v>-4.7</c:v>
                </c:pt>
                <c:pt idx="14">
                  <c:v>-4.5999999999999996</c:v>
                </c:pt>
                <c:pt idx="15">
                  <c:v>-4.5</c:v>
                </c:pt>
                <c:pt idx="16">
                  <c:v>-4.4000000000000004</c:v>
                </c:pt>
                <c:pt idx="17">
                  <c:v>-4.3</c:v>
                </c:pt>
                <c:pt idx="18">
                  <c:v>-4.2</c:v>
                </c:pt>
                <c:pt idx="19">
                  <c:v>-4.0999999999999996</c:v>
                </c:pt>
                <c:pt idx="20">
                  <c:v>-4</c:v>
                </c:pt>
                <c:pt idx="21">
                  <c:v>-3.9</c:v>
                </c:pt>
                <c:pt idx="22">
                  <c:v>-3.8</c:v>
                </c:pt>
                <c:pt idx="23">
                  <c:v>-3.7</c:v>
                </c:pt>
                <c:pt idx="24">
                  <c:v>-3.6</c:v>
                </c:pt>
                <c:pt idx="25">
                  <c:v>-3.5</c:v>
                </c:pt>
                <c:pt idx="26">
                  <c:v>-3.4</c:v>
                </c:pt>
                <c:pt idx="27">
                  <c:v>-3.3</c:v>
                </c:pt>
                <c:pt idx="28">
                  <c:v>-3.2</c:v>
                </c:pt>
                <c:pt idx="29">
                  <c:v>-3.1</c:v>
                </c:pt>
                <c:pt idx="30">
                  <c:v>-3</c:v>
                </c:pt>
                <c:pt idx="31">
                  <c:v>-2.9</c:v>
                </c:pt>
                <c:pt idx="32">
                  <c:v>-2.8</c:v>
                </c:pt>
                <c:pt idx="33">
                  <c:v>-2.7</c:v>
                </c:pt>
                <c:pt idx="34">
                  <c:v>-2.6</c:v>
                </c:pt>
                <c:pt idx="35">
                  <c:v>-2.5</c:v>
                </c:pt>
                <c:pt idx="36">
                  <c:v>-2.4</c:v>
                </c:pt>
                <c:pt idx="37">
                  <c:v>-2.2999999999999998</c:v>
                </c:pt>
                <c:pt idx="38">
                  <c:v>-2.2000000000000002</c:v>
                </c:pt>
                <c:pt idx="39">
                  <c:v>-2.1</c:v>
                </c:pt>
                <c:pt idx="40">
                  <c:v>-2</c:v>
                </c:pt>
                <c:pt idx="41">
                  <c:v>-1.9</c:v>
                </c:pt>
                <c:pt idx="42">
                  <c:v>-1.8</c:v>
                </c:pt>
                <c:pt idx="43">
                  <c:v>-1.7</c:v>
                </c:pt>
                <c:pt idx="44">
                  <c:v>-1.6</c:v>
                </c:pt>
                <c:pt idx="45">
                  <c:v>-1.5</c:v>
                </c:pt>
                <c:pt idx="46">
                  <c:v>-1.4</c:v>
                </c:pt>
                <c:pt idx="47">
                  <c:v>-1.3</c:v>
                </c:pt>
                <c:pt idx="48">
                  <c:v>-1.2</c:v>
                </c:pt>
                <c:pt idx="49">
                  <c:v>-1.1000000000000001</c:v>
                </c:pt>
                <c:pt idx="50">
                  <c:v>-1</c:v>
                </c:pt>
                <c:pt idx="51">
                  <c:v>-0.9</c:v>
                </c:pt>
                <c:pt idx="52">
                  <c:v>-0.8</c:v>
                </c:pt>
                <c:pt idx="53">
                  <c:v>-0.7</c:v>
                </c:pt>
                <c:pt idx="54">
                  <c:v>-0.6</c:v>
                </c:pt>
                <c:pt idx="55">
                  <c:v>-0.5</c:v>
                </c:pt>
                <c:pt idx="56">
                  <c:v>-0.4</c:v>
                </c:pt>
                <c:pt idx="57">
                  <c:v>-0.3</c:v>
                </c:pt>
                <c:pt idx="58">
                  <c:v>-0.2</c:v>
                </c:pt>
                <c:pt idx="59">
                  <c:v>-0.1</c:v>
                </c:pt>
                <c:pt idx="60">
                  <c:v>0</c:v>
                </c:pt>
                <c:pt idx="61">
                  <c:v>0.1</c:v>
                </c:pt>
                <c:pt idx="62">
                  <c:v>0.2</c:v>
                </c:pt>
                <c:pt idx="63">
                  <c:v>0.3</c:v>
                </c:pt>
                <c:pt idx="64">
                  <c:v>0.4</c:v>
                </c:pt>
                <c:pt idx="65">
                  <c:v>0.5</c:v>
                </c:pt>
                <c:pt idx="66">
                  <c:v>0.6</c:v>
                </c:pt>
                <c:pt idx="67">
                  <c:v>0.7</c:v>
                </c:pt>
                <c:pt idx="68">
                  <c:v>0.8</c:v>
                </c:pt>
                <c:pt idx="69">
                  <c:v>0.9</c:v>
                </c:pt>
                <c:pt idx="70">
                  <c:v>1</c:v>
                </c:pt>
                <c:pt idx="71">
                  <c:v>1.1000000000000001</c:v>
                </c:pt>
                <c:pt idx="72">
                  <c:v>1.2</c:v>
                </c:pt>
                <c:pt idx="73">
                  <c:v>1.3</c:v>
                </c:pt>
                <c:pt idx="74">
                  <c:v>1.4</c:v>
                </c:pt>
                <c:pt idx="75">
                  <c:v>1.5</c:v>
                </c:pt>
                <c:pt idx="76">
                  <c:v>1.6</c:v>
                </c:pt>
                <c:pt idx="77">
                  <c:v>1.7</c:v>
                </c:pt>
                <c:pt idx="78">
                  <c:v>1.8</c:v>
                </c:pt>
                <c:pt idx="79">
                  <c:v>1.9</c:v>
                </c:pt>
                <c:pt idx="80">
                  <c:v>2</c:v>
                </c:pt>
                <c:pt idx="81">
                  <c:v>2.1</c:v>
                </c:pt>
                <c:pt idx="82">
                  <c:v>2.2000000000000002</c:v>
                </c:pt>
                <c:pt idx="83">
                  <c:v>2.2999999999999998</c:v>
                </c:pt>
                <c:pt idx="84">
                  <c:v>2.4</c:v>
                </c:pt>
                <c:pt idx="85">
                  <c:v>2.5</c:v>
                </c:pt>
                <c:pt idx="86">
                  <c:v>2.6</c:v>
                </c:pt>
                <c:pt idx="87">
                  <c:v>2.7</c:v>
                </c:pt>
                <c:pt idx="88">
                  <c:v>2.8</c:v>
                </c:pt>
                <c:pt idx="89">
                  <c:v>2.9</c:v>
                </c:pt>
                <c:pt idx="90">
                  <c:v>3</c:v>
                </c:pt>
                <c:pt idx="91">
                  <c:v>3.1</c:v>
                </c:pt>
                <c:pt idx="92">
                  <c:v>3.2</c:v>
                </c:pt>
                <c:pt idx="93">
                  <c:v>3.3</c:v>
                </c:pt>
                <c:pt idx="94">
                  <c:v>3.4</c:v>
                </c:pt>
                <c:pt idx="95">
                  <c:v>3.5</c:v>
                </c:pt>
                <c:pt idx="96">
                  <c:v>3.6</c:v>
                </c:pt>
                <c:pt idx="97">
                  <c:v>3.7</c:v>
                </c:pt>
                <c:pt idx="98">
                  <c:v>3.8</c:v>
                </c:pt>
                <c:pt idx="99">
                  <c:v>3.9</c:v>
                </c:pt>
                <c:pt idx="100">
                  <c:v>4</c:v>
                </c:pt>
                <c:pt idx="101">
                  <c:v>4.0999999999999996</c:v>
                </c:pt>
                <c:pt idx="102">
                  <c:v>4.2</c:v>
                </c:pt>
                <c:pt idx="103">
                  <c:v>4.3</c:v>
                </c:pt>
                <c:pt idx="104">
                  <c:v>4.4000000000000004</c:v>
                </c:pt>
                <c:pt idx="105">
                  <c:v>4.5</c:v>
                </c:pt>
                <c:pt idx="106">
                  <c:v>4.5999999999999996</c:v>
                </c:pt>
                <c:pt idx="107">
                  <c:v>4.7</c:v>
                </c:pt>
                <c:pt idx="108">
                  <c:v>4.8</c:v>
                </c:pt>
                <c:pt idx="109">
                  <c:v>4.9000000000000004</c:v>
                </c:pt>
                <c:pt idx="110">
                  <c:v>5</c:v>
                </c:pt>
                <c:pt idx="111">
                  <c:v>5.0999999999999996</c:v>
                </c:pt>
                <c:pt idx="112">
                  <c:v>5.2</c:v>
                </c:pt>
                <c:pt idx="113">
                  <c:v>5.3</c:v>
                </c:pt>
                <c:pt idx="114">
                  <c:v>5.4</c:v>
                </c:pt>
                <c:pt idx="115">
                  <c:v>5.5</c:v>
                </c:pt>
                <c:pt idx="116">
                  <c:v>5.6</c:v>
                </c:pt>
                <c:pt idx="117">
                  <c:v>5.7</c:v>
                </c:pt>
                <c:pt idx="118">
                  <c:v>5.8</c:v>
                </c:pt>
                <c:pt idx="119">
                  <c:v>5.9</c:v>
                </c:pt>
                <c:pt idx="120">
                  <c:v>6</c:v>
                </c:pt>
              </c:numCache>
            </c:numRef>
          </c:xVal>
          <c:yVal>
            <c:numRef>
              <c:f>'Chart Representing Result'!$B$2:$B$122</c:f>
              <c:numCache>
                <c:formatCode>General</c:formatCode>
                <c:ptCount val="121"/>
                <c:pt idx="0">
                  <c:v>2.5875713175679762E-7</c:v>
                </c:pt>
                <c:pt idx="1">
                  <c:v>3.7680635248419325E-7</c:v>
                </c:pt>
                <c:pt idx="2">
                  <c:v>5.4784049920871942E-7</c:v>
                </c:pt>
                <c:pt idx="3">
                  <c:v>7.9514559503888806E-7</c:v>
                </c:pt>
                <c:pt idx="4">
                  <c:v>1.151968984898313E-6</c:v>
                </c:pt>
                <c:pt idx="5">
                  <c:v>1.6656354096229385E-6</c:v>
                </c:pt>
                <c:pt idx="6">
                  <c:v>2.4032888592076432E-6</c:v>
                </c:pt>
                <c:pt idx="7">
                  <c:v>3.4598648055537705E-6</c:v>
                </c:pt>
                <c:pt idx="8">
                  <c:v>4.9691040415824793E-6</c:v>
                </c:pt>
                <c:pt idx="9">
                  <c:v>7.1186880294166468E-6</c:v>
                </c:pt>
                <c:pt idx="10">
                  <c:v>1.0170921082344813E-5</c:v>
                </c:pt>
                <c:pt idx="11">
                  <c:v>1.4490823233174142E-5</c:v>
                </c:pt>
                <c:pt idx="12">
                  <c:v>2.0584046546770546E-5</c:v>
                </c:pt>
                <c:pt idx="13">
                  <c:v>2.9147703735983035E-5</c:v>
                </c:pt>
                <c:pt idx="14">
                  <c:v>4.1138015398289399E-5</c:v>
                </c:pt>
                <c:pt idx="15">
                  <c:v>5.785964920063367E-5</c:v>
                </c:pt>
                <c:pt idx="16">
                  <c:v>8.1082738455573783E-5</c:v>
                </c:pt>
                <c:pt idx="17">
                  <c:v>1.131948093796912E-4</c:v>
                </c:pt>
                <c:pt idx="18">
                  <c:v>1.5739617156417042E-4</c:v>
                </c:pt>
                <c:pt idx="19">
                  <c:v>2.1794865574438071E-4</c:v>
                </c:pt>
                <c:pt idx="20">
                  <c:v>3.0048879186841103E-4</c:v>
                </c:pt>
                <c:pt idx="21">
                  <c:v>4.1241742610654501E-4</c:v>
                </c:pt>
                <c:pt idx="22">
                  <c:v>5.6337812649668738E-4</c:v>
                </c:pt>
                <c:pt idx="23">
                  <c:v>7.6583619522343452E-4</c:v>
                </c:pt>
                <c:pt idx="24">
                  <c:v>1.0357682837706321E-3</c:v>
                </c:pt>
                <c:pt idx="25">
                  <c:v>1.393469016285972E-3</c:v>
                </c:pt>
                <c:pt idx="26">
                  <c:v>1.8644751371879164E-3</c:v>
                </c:pt>
                <c:pt idx="27">
                  <c:v>2.480598972525826E-3</c:v>
                </c:pt>
                <c:pt idx="28">
                  <c:v>3.2810509466340023E-3</c:v>
                </c:pt>
                <c:pt idx="29">
                  <c:v>4.3136151870200434E-3</c:v>
                </c:pt>
                <c:pt idx="30">
                  <c:v>5.6358228039909836E-3</c:v>
                </c:pt>
                <c:pt idx="31">
                  <c:v>7.3160445707786542E-3</c:v>
                </c:pt>
                <c:pt idx="32">
                  <c:v>9.4343993289504949E-3</c:v>
                </c:pt>
                <c:pt idx="33">
                  <c:v>1.2083348069645566E-2</c:v>
                </c:pt>
                <c:pt idx="34">
                  <c:v>1.5367818661760801E-2</c:v>
                </c:pt>
                <c:pt idx="35">
                  <c:v>1.9404685823030898E-2</c:v>
                </c:pt>
                <c:pt idx="36">
                  <c:v>2.432141914331569E-2</c:v>
                </c:pt>
                <c:pt idx="37">
                  <c:v>3.0253713319987038E-2</c:v>
                </c:pt>
                <c:pt idx="38">
                  <c:v>3.7341933982152624E-2</c:v>
                </c:pt>
                <c:pt idx="39">
                  <c:v>4.5726253904749506E-2</c:v>
                </c:pt>
                <c:pt idx="40">
                  <c:v>5.5540421263435856E-2</c:v>
                </c:pt>
                <c:pt idx="41">
                  <c:v>6.6904195104747932E-2</c:v>
                </c:pt>
                <c:pt idx="42">
                  <c:v>7.9914601819336517E-2</c:v>
                </c:pt>
                <c:pt idx="43">
                  <c:v>9.4636304954725289E-2</c:v>
                </c:pt>
                <c:pt idx="44">
                  <c:v>0.11109153001320952</c:v>
                </c:pt>
                <c:pt idx="45">
                  <c:v>0.12925013276820271</c:v>
                </c:pt>
                <c:pt idx="46">
                  <c:v>0.14902052753253925</c:v>
                </c:pt>
                <c:pt idx="47">
                  <c:v>0.17024228209372172</c:v>
                </c:pt>
                <c:pt idx="48">
                  <c:v>0.19268121999645749</c:v>
                </c:pt>
                <c:pt idx="49">
                  <c:v>0.21602783227471542</c:v>
                </c:pt>
                <c:pt idx="50">
                  <c:v>0.23989967864968492</c:v>
                </c:pt>
                <c:pt idx="51">
                  <c:v>0.26384824956528008</c:v>
                </c:pt>
                <c:pt idx="52">
                  <c:v>0.28737047212633798</c:v>
                </c:pt>
                <c:pt idx="53">
                  <c:v>0.30992469283377022</c:v>
                </c:pt>
                <c:pt idx="54">
                  <c:v>0.33095058616939965</c:v>
                </c:pt>
                <c:pt idx="55">
                  <c:v>0.34989205701748638</c:v>
                </c:pt>
                <c:pt idx="56">
                  <c:v>0.36622186761207792</c:v>
                </c:pt>
                <c:pt idx="57">
                  <c:v>0.37946646680433938</c:v>
                </c:pt>
                <c:pt idx="58">
                  <c:v>0.38922936576605044</c:v>
                </c:pt>
                <c:pt idx="59">
                  <c:v>0.39521141356917977</c:v>
                </c:pt>
                <c:pt idx="60">
                  <c:v>0.39722648707490787</c:v>
                </c:pt>
                <c:pt idx="61">
                  <c:v>0.39521141356917977</c:v>
                </c:pt>
                <c:pt idx="62">
                  <c:v>0.38922936576605044</c:v>
                </c:pt>
                <c:pt idx="63">
                  <c:v>0.37946646680433938</c:v>
                </c:pt>
                <c:pt idx="64">
                  <c:v>0.36622186761207792</c:v>
                </c:pt>
                <c:pt idx="65">
                  <c:v>0.34989205701748638</c:v>
                </c:pt>
                <c:pt idx="66">
                  <c:v>0.33095058616939965</c:v>
                </c:pt>
                <c:pt idx="67">
                  <c:v>0.30992469283377022</c:v>
                </c:pt>
                <c:pt idx="68">
                  <c:v>0.28737047212633798</c:v>
                </c:pt>
                <c:pt idx="69">
                  <c:v>0.26384824956528008</c:v>
                </c:pt>
                <c:pt idx="70">
                  <c:v>0.23989967864968492</c:v>
                </c:pt>
                <c:pt idx="71">
                  <c:v>0.21602783227471542</c:v>
                </c:pt>
                <c:pt idx="72">
                  <c:v>0.19268121999645749</c:v>
                </c:pt>
                <c:pt idx="73">
                  <c:v>0.17024228209372172</c:v>
                </c:pt>
                <c:pt idx="74">
                  <c:v>0.14902052753253925</c:v>
                </c:pt>
                <c:pt idx="75">
                  <c:v>0.12925013276820271</c:v>
                </c:pt>
                <c:pt idx="76">
                  <c:v>0.11109153001320952</c:v>
                </c:pt>
                <c:pt idx="77">
                  <c:v>9.4636304954725289E-2</c:v>
                </c:pt>
                <c:pt idx="78">
                  <c:v>7.9914601819336517E-2</c:v>
                </c:pt>
                <c:pt idx="79">
                  <c:v>6.6904195104747932E-2</c:v>
                </c:pt>
                <c:pt idx="80">
                  <c:v>5.5540421263435856E-2</c:v>
                </c:pt>
                <c:pt idx="81">
                  <c:v>4.5726253904749506E-2</c:v>
                </c:pt>
                <c:pt idx="82">
                  <c:v>3.7341933982152624E-2</c:v>
                </c:pt>
                <c:pt idx="83">
                  <c:v>3.0253713319987038E-2</c:v>
                </c:pt>
                <c:pt idx="84">
                  <c:v>2.432141914331569E-2</c:v>
                </c:pt>
                <c:pt idx="85">
                  <c:v>1.9404685823030898E-2</c:v>
                </c:pt>
                <c:pt idx="86">
                  <c:v>1.5367818661760801E-2</c:v>
                </c:pt>
                <c:pt idx="87">
                  <c:v>1.2083348069645566E-2</c:v>
                </c:pt>
                <c:pt idx="88">
                  <c:v>9.4343993289504949E-3</c:v>
                </c:pt>
                <c:pt idx="89">
                  <c:v>7.3160445707786542E-3</c:v>
                </c:pt>
                <c:pt idx="90">
                  <c:v>5.6358228039909836E-3</c:v>
                </c:pt>
                <c:pt idx="91">
                  <c:v>4.3136151870200434E-3</c:v>
                </c:pt>
                <c:pt idx="92">
                  <c:v>3.2810509466340023E-3</c:v>
                </c:pt>
                <c:pt idx="93">
                  <c:v>2.480598972525826E-3</c:v>
                </c:pt>
                <c:pt idx="94">
                  <c:v>1.8644751371879164E-3</c:v>
                </c:pt>
                <c:pt idx="95">
                  <c:v>1.393469016285972E-3</c:v>
                </c:pt>
                <c:pt idx="96">
                  <c:v>1.0357682837706321E-3</c:v>
                </c:pt>
                <c:pt idx="97">
                  <c:v>7.6583619522343452E-4</c:v>
                </c:pt>
                <c:pt idx="98">
                  <c:v>5.6337812649668738E-4</c:v>
                </c:pt>
                <c:pt idx="99">
                  <c:v>4.1241742610654501E-4</c:v>
                </c:pt>
                <c:pt idx="100">
                  <c:v>3.0048879186841103E-4</c:v>
                </c:pt>
                <c:pt idx="101">
                  <c:v>2.1794865574438071E-4</c:v>
                </c:pt>
                <c:pt idx="102">
                  <c:v>1.5739617156417042E-4</c:v>
                </c:pt>
                <c:pt idx="103">
                  <c:v>1.131948093796912E-4</c:v>
                </c:pt>
                <c:pt idx="104">
                  <c:v>8.1082738455573783E-5</c:v>
                </c:pt>
                <c:pt idx="105">
                  <c:v>5.785964920063367E-5</c:v>
                </c:pt>
                <c:pt idx="106">
                  <c:v>4.1138015398289399E-5</c:v>
                </c:pt>
                <c:pt idx="107">
                  <c:v>2.9147703735983035E-5</c:v>
                </c:pt>
                <c:pt idx="108">
                  <c:v>2.0584046546770546E-5</c:v>
                </c:pt>
                <c:pt idx="109">
                  <c:v>1.4490823233174142E-5</c:v>
                </c:pt>
                <c:pt idx="110">
                  <c:v>1.0170921082344813E-5</c:v>
                </c:pt>
                <c:pt idx="111">
                  <c:v>7.1186880294166468E-6</c:v>
                </c:pt>
                <c:pt idx="112">
                  <c:v>4.9691040415824793E-6</c:v>
                </c:pt>
                <c:pt idx="113">
                  <c:v>3.4598648055537705E-6</c:v>
                </c:pt>
                <c:pt idx="114">
                  <c:v>2.4032888592076432E-6</c:v>
                </c:pt>
                <c:pt idx="115">
                  <c:v>1.6656354096229385E-6</c:v>
                </c:pt>
                <c:pt idx="116">
                  <c:v>1.151968984898313E-6</c:v>
                </c:pt>
                <c:pt idx="117">
                  <c:v>7.9514559503888806E-7</c:v>
                </c:pt>
                <c:pt idx="118">
                  <c:v>5.4784049920871942E-7</c:v>
                </c:pt>
                <c:pt idx="119">
                  <c:v>3.7680635248419325E-7</c:v>
                </c:pt>
                <c:pt idx="120">
                  <c:v>2.5875713175679762E-7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F5-4CFC-813B-C17B0D3DD56F}"/>
            </c:ext>
          </c:extLst>
        </c:ser>
        <c:ser>
          <c:idx val="1"/>
          <c:order val="1"/>
          <c:tx>
            <c:v>one</c:v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'Chart Representing Result'!$A$2:$A$122</c:f>
              <c:numCache>
                <c:formatCode>General</c:formatCode>
                <c:ptCount val="121"/>
                <c:pt idx="0">
                  <c:v>-6</c:v>
                </c:pt>
                <c:pt idx="1">
                  <c:v>-5.9</c:v>
                </c:pt>
                <c:pt idx="2">
                  <c:v>-5.8</c:v>
                </c:pt>
                <c:pt idx="3">
                  <c:v>-5.7</c:v>
                </c:pt>
                <c:pt idx="4">
                  <c:v>-5.6</c:v>
                </c:pt>
                <c:pt idx="5">
                  <c:v>-5.5</c:v>
                </c:pt>
                <c:pt idx="6">
                  <c:v>-5.4</c:v>
                </c:pt>
                <c:pt idx="7">
                  <c:v>-5.3</c:v>
                </c:pt>
                <c:pt idx="8">
                  <c:v>-5.2</c:v>
                </c:pt>
                <c:pt idx="9">
                  <c:v>-5.0999999999999996</c:v>
                </c:pt>
                <c:pt idx="10">
                  <c:v>-5</c:v>
                </c:pt>
                <c:pt idx="11">
                  <c:v>-4.9000000000000004</c:v>
                </c:pt>
                <c:pt idx="12">
                  <c:v>-4.8</c:v>
                </c:pt>
                <c:pt idx="13">
                  <c:v>-4.7</c:v>
                </c:pt>
                <c:pt idx="14">
                  <c:v>-4.5999999999999996</c:v>
                </c:pt>
                <c:pt idx="15">
                  <c:v>-4.5</c:v>
                </c:pt>
                <c:pt idx="16">
                  <c:v>-4.4000000000000004</c:v>
                </c:pt>
                <c:pt idx="17">
                  <c:v>-4.3</c:v>
                </c:pt>
                <c:pt idx="18">
                  <c:v>-4.2</c:v>
                </c:pt>
                <c:pt idx="19">
                  <c:v>-4.0999999999999996</c:v>
                </c:pt>
                <c:pt idx="20">
                  <c:v>-4</c:v>
                </c:pt>
                <c:pt idx="21">
                  <c:v>-3.9</c:v>
                </c:pt>
                <c:pt idx="22">
                  <c:v>-3.8</c:v>
                </c:pt>
                <c:pt idx="23">
                  <c:v>-3.7</c:v>
                </c:pt>
                <c:pt idx="24">
                  <c:v>-3.6</c:v>
                </c:pt>
                <c:pt idx="25">
                  <c:v>-3.5</c:v>
                </c:pt>
                <c:pt idx="26">
                  <c:v>-3.4</c:v>
                </c:pt>
                <c:pt idx="27">
                  <c:v>-3.3</c:v>
                </c:pt>
                <c:pt idx="28">
                  <c:v>-3.2</c:v>
                </c:pt>
                <c:pt idx="29">
                  <c:v>-3.1</c:v>
                </c:pt>
                <c:pt idx="30">
                  <c:v>-3</c:v>
                </c:pt>
                <c:pt idx="31">
                  <c:v>-2.9</c:v>
                </c:pt>
                <c:pt idx="32">
                  <c:v>-2.8</c:v>
                </c:pt>
                <c:pt idx="33">
                  <c:v>-2.7</c:v>
                </c:pt>
                <c:pt idx="34">
                  <c:v>-2.6</c:v>
                </c:pt>
                <c:pt idx="35">
                  <c:v>-2.5</c:v>
                </c:pt>
                <c:pt idx="36">
                  <c:v>-2.4</c:v>
                </c:pt>
                <c:pt idx="37">
                  <c:v>-2.2999999999999998</c:v>
                </c:pt>
                <c:pt idx="38">
                  <c:v>-2.2000000000000002</c:v>
                </c:pt>
                <c:pt idx="39">
                  <c:v>-2.1</c:v>
                </c:pt>
                <c:pt idx="40">
                  <c:v>-2</c:v>
                </c:pt>
                <c:pt idx="41">
                  <c:v>-1.9</c:v>
                </c:pt>
                <c:pt idx="42">
                  <c:v>-1.8</c:v>
                </c:pt>
                <c:pt idx="43">
                  <c:v>-1.7</c:v>
                </c:pt>
                <c:pt idx="44">
                  <c:v>-1.6</c:v>
                </c:pt>
                <c:pt idx="45">
                  <c:v>-1.5</c:v>
                </c:pt>
                <c:pt idx="46">
                  <c:v>-1.4</c:v>
                </c:pt>
                <c:pt idx="47">
                  <c:v>-1.3</c:v>
                </c:pt>
                <c:pt idx="48">
                  <c:v>-1.2</c:v>
                </c:pt>
                <c:pt idx="49">
                  <c:v>-1.1000000000000001</c:v>
                </c:pt>
                <c:pt idx="50">
                  <c:v>-1</c:v>
                </c:pt>
                <c:pt idx="51">
                  <c:v>-0.9</c:v>
                </c:pt>
                <c:pt idx="52">
                  <c:v>-0.8</c:v>
                </c:pt>
                <c:pt idx="53">
                  <c:v>-0.7</c:v>
                </c:pt>
                <c:pt idx="54">
                  <c:v>-0.6</c:v>
                </c:pt>
                <c:pt idx="55">
                  <c:v>-0.5</c:v>
                </c:pt>
                <c:pt idx="56">
                  <c:v>-0.4</c:v>
                </c:pt>
                <c:pt idx="57">
                  <c:v>-0.3</c:v>
                </c:pt>
                <c:pt idx="58">
                  <c:v>-0.2</c:v>
                </c:pt>
                <c:pt idx="59">
                  <c:v>-0.1</c:v>
                </c:pt>
                <c:pt idx="60">
                  <c:v>0</c:v>
                </c:pt>
                <c:pt idx="61">
                  <c:v>0.1</c:v>
                </c:pt>
                <c:pt idx="62">
                  <c:v>0.2</c:v>
                </c:pt>
                <c:pt idx="63">
                  <c:v>0.3</c:v>
                </c:pt>
                <c:pt idx="64">
                  <c:v>0.4</c:v>
                </c:pt>
                <c:pt idx="65">
                  <c:v>0.5</c:v>
                </c:pt>
                <c:pt idx="66">
                  <c:v>0.6</c:v>
                </c:pt>
                <c:pt idx="67">
                  <c:v>0.7</c:v>
                </c:pt>
                <c:pt idx="68">
                  <c:v>0.8</c:v>
                </c:pt>
                <c:pt idx="69">
                  <c:v>0.9</c:v>
                </c:pt>
                <c:pt idx="70">
                  <c:v>1</c:v>
                </c:pt>
                <c:pt idx="71">
                  <c:v>1.1000000000000001</c:v>
                </c:pt>
                <c:pt idx="72">
                  <c:v>1.2</c:v>
                </c:pt>
                <c:pt idx="73">
                  <c:v>1.3</c:v>
                </c:pt>
                <c:pt idx="74">
                  <c:v>1.4</c:v>
                </c:pt>
                <c:pt idx="75">
                  <c:v>1.5</c:v>
                </c:pt>
                <c:pt idx="76">
                  <c:v>1.6</c:v>
                </c:pt>
                <c:pt idx="77">
                  <c:v>1.7</c:v>
                </c:pt>
                <c:pt idx="78">
                  <c:v>1.8</c:v>
                </c:pt>
                <c:pt idx="79">
                  <c:v>1.9</c:v>
                </c:pt>
                <c:pt idx="80">
                  <c:v>2</c:v>
                </c:pt>
                <c:pt idx="81">
                  <c:v>2.1</c:v>
                </c:pt>
                <c:pt idx="82">
                  <c:v>2.2000000000000002</c:v>
                </c:pt>
                <c:pt idx="83">
                  <c:v>2.2999999999999998</c:v>
                </c:pt>
                <c:pt idx="84">
                  <c:v>2.4</c:v>
                </c:pt>
                <c:pt idx="85">
                  <c:v>2.5</c:v>
                </c:pt>
                <c:pt idx="86">
                  <c:v>2.6</c:v>
                </c:pt>
                <c:pt idx="87">
                  <c:v>2.7</c:v>
                </c:pt>
                <c:pt idx="88">
                  <c:v>2.8</c:v>
                </c:pt>
                <c:pt idx="89">
                  <c:v>2.9</c:v>
                </c:pt>
                <c:pt idx="90">
                  <c:v>3</c:v>
                </c:pt>
                <c:pt idx="91">
                  <c:v>3.1</c:v>
                </c:pt>
                <c:pt idx="92">
                  <c:v>3.2</c:v>
                </c:pt>
                <c:pt idx="93">
                  <c:v>3.3</c:v>
                </c:pt>
                <c:pt idx="94">
                  <c:v>3.4</c:v>
                </c:pt>
                <c:pt idx="95">
                  <c:v>3.5</c:v>
                </c:pt>
                <c:pt idx="96">
                  <c:v>3.6</c:v>
                </c:pt>
                <c:pt idx="97">
                  <c:v>3.7</c:v>
                </c:pt>
                <c:pt idx="98">
                  <c:v>3.8</c:v>
                </c:pt>
                <c:pt idx="99">
                  <c:v>3.9</c:v>
                </c:pt>
                <c:pt idx="100">
                  <c:v>4</c:v>
                </c:pt>
                <c:pt idx="101">
                  <c:v>4.0999999999999996</c:v>
                </c:pt>
                <c:pt idx="102">
                  <c:v>4.2</c:v>
                </c:pt>
                <c:pt idx="103">
                  <c:v>4.3</c:v>
                </c:pt>
                <c:pt idx="104">
                  <c:v>4.4000000000000004</c:v>
                </c:pt>
                <c:pt idx="105">
                  <c:v>4.5</c:v>
                </c:pt>
                <c:pt idx="106">
                  <c:v>4.5999999999999996</c:v>
                </c:pt>
                <c:pt idx="107">
                  <c:v>4.7</c:v>
                </c:pt>
                <c:pt idx="108">
                  <c:v>4.8</c:v>
                </c:pt>
                <c:pt idx="109">
                  <c:v>4.9000000000000004</c:v>
                </c:pt>
                <c:pt idx="110">
                  <c:v>5</c:v>
                </c:pt>
                <c:pt idx="111">
                  <c:v>5.0999999999999996</c:v>
                </c:pt>
                <c:pt idx="112">
                  <c:v>5.2</c:v>
                </c:pt>
                <c:pt idx="113">
                  <c:v>5.3</c:v>
                </c:pt>
                <c:pt idx="114">
                  <c:v>5.4</c:v>
                </c:pt>
                <c:pt idx="115">
                  <c:v>5.5</c:v>
                </c:pt>
                <c:pt idx="116">
                  <c:v>5.6</c:v>
                </c:pt>
                <c:pt idx="117">
                  <c:v>5.7</c:v>
                </c:pt>
                <c:pt idx="118">
                  <c:v>5.8</c:v>
                </c:pt>
                <c:pt idx="119">
                  <c:v>5.9</c:v>
                </c:pt>
                <c:pt idx="120">
                  <c:v>6</c:v>
                </c:pt>
              </c:numCache>
            </c:numRef>
          </c:xVal>
          <c:yVal>
            <c:numRef>
              <c:f>'Chart Representing Result'!$C$2:$C$122</c:f>
              <c:numCache>
                <c:formatCode>General</c:formatCode>
                <c:ptCount val="121"/>
                <c:pt idx="0">
                  <c:v>2.5875713175679762E-7</c:v>
                </c:pt>
                <c:pt idx="1">
                  <c:v>3.7680635248419325E-7</c:v>
                </c:pt>
                <c:pt idx="2">
                  <c:v>5.4784049920871942E-7</c:v>
                </c:pt>
                <c:pt idx="3">
                  <c:v>7.9514559503888806E-7</c:v>
                </c:pt>
                <c:pt idx="4">
                  <c:v>1.151968984898313E-6</c:v>
                </c:pt>
                <c:pt idx="5">
                  <c:v>1.6656354096229385E-6</c:v>
                </c:pt>
                <c:pt idx="6">
                  <c:v>2.4032888592076432E-6</c:v>
                </c:pt>
                <c:pt idx="7">
                  <c:v>3.4598648055537705E-6</c:v>
                </c:pt>
                <c:pt idx="8">
                  <c:v>4.9691040415824793E-6</c:v>
                </c:pt>
                <c:pt idx="9">
                  <c:v>7.1186880294166468E-6</c:v>
                </c:pt>
                <c:pt idx="10">
                  <c:v>1.0170921082344813E-5</c:v>
                </c:pt>
                <c:pt idx="11">
                  <c:v>1.4490823233174142E-5</c:v>
                </c:pt>
                <c:pt idx="12">
                  <c:v>2.0584046546770546E-5</c:v>
                </c:pt>
                <c:pt idx="13">
                  <c:v>2.9147703735983035E-5</c:v>
                </c:pt>
                <c:pt idx="14">
                  <c:v>4.1138015398289399E-5</c:v>
                </c:pt>
                <c:pt idx="15">
                  <c:v>5.785964920063367E-5</c:v>
                </c:pt>
                <c:pt idx="16">
                  <c:v>8.1082738455573783E-5</c:v>
                </c:pt>
                <c:pt idx="17">
                  <c:v>1.131948093796912E-4</c:v>
                </c:pt>
                <c:pt idx="18">
                  <c:v>1.5739617156417042E-4</c:v>
                </c:pt>
                <c:pt idx="19">
                  <c:v>2.1794865574438071E-4</c:v>
                </c:pt>
                <c:pt idx="20">
                  <c:v>3.0048879186841103E-4</c:v>
                </c:pt>
                <c:pt idx="21">
                  <c:v>4.1241742610654501E-4</c:v>
                </c:pt>
                <c:pt idx="22">
                  <c:v>5.6337812649668738E-4</c:v>
                </c:pt>
                <c:pt idx="23">
                  <c:v>7.6583619522343452E-4</c:v>
                </c:pt>
                <c:pt idx="24">
                  <c:v>1.0357682837706321E-3</c:v>
                </c:pt>
                <c:pt idx="25">
                  <c:v>1.393469016285972E-3</c:v>
                </c:pt>
                <c:pt idx="26">
                  <c:v>1.8644751371879164E-3</c:v>
                </c:pt>
                <c:pt idx="27">
                  <c:v>2.480598972525826E-3</c:v>
                </c:pt>
                <c:pt idx="28">
                  <c:v>3.2810509466340023E-3</c:v>
                </c:pt>
                <c:pt idx="29">
                  <c:v>4.3136151870200434E-3</c:v>
                </c:pt>
                <c:pt idx="30">
                  <c:v>5.6358228039909836E-3</c:v>
                </c:pt>
                <c:pt idx="31">
                  <c:v>7.3160445707786542E-3</c:v>
                </c:pt>
                <c:pt idx="32">
                  <c:v>9.4343993289504949E-3</c:v>
                </c:pt>
                <c:pt idx="33">
                  <c:v>1.2083348069645566E-2</c:v>
                </c:pt>
                <c:pt idx="34">
                  <c:v>1.5367818661760801E-2</c:v>
                </c:pt>
                <c:pt idx="35">
                  <c:v>1.9404685823030898E-2</c:v>
                </c:pt>
                <c:pt idx="36">
                  <c:v>2.432141914331569E-2</c:v>
                </c:pt>
                <c:pt idx="37">
                  <c:v>3.0253713319987038E-2</c:v>
                </c:pt>
                <c:pt idx="38">
                  <c:v>3.7341933982152624E-2</c:v>
                </c:pt>
                <c:pt idx="39">
                  <c:v>4.5726253904749506E-2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F5-4CFC-813B-C17B0D3DD56F}"/>
            </c:ext>
          </c:extLst>
        </c:ser>
        <c:ser>
          <c:idx val="2"/>
          <c:order val="2"/>
          <c:tx>
            <c:v>two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'Chart Representing Result'!$A$2:$A$122</c:f>
              <c:numCache>
                <c:formatCode>General</c:formatCode>
                <c:ptCount val="121"/>
                <c:pt idx="0">
                  <c:v>-6</c:v>
                </c:pt>
                <c:pt idx="1">
                  <c:v>-5.9</c:v>
                </c:pt>
                <c:pt idx="2">
                  <c:v>-5.8</c:v>
                </c:pt>
                <c:pt idx="3">
                  <c:v>-5.7</c:v>
                </c:pt>
                <c:pt idx="4">
                  <c:v>-5.6</c:v>
                </c:pt>
                <c:pt idx="5">
                  <c:v>-5.5</c:v>
                </c:pt>
                <c:pt idx="6">
                  <c:v>-5.4</c:v>
                </c:pt>
                <c:pt idx="7">
                  <c:v>-5.3</c:v>
                </c:pt>
                <c:pt idx="8">
                  <c:v>-5.2</c:v>
                </c:pt>
                <c:pt idx="9">
                  <c:v>-5.0999999999999996</c:v>
                </c:pt>
                <c:pt idx="10">
                  <c:v>-5</c:v>
                </c:pt>
                <c:pt idx="11">
                  <c:v>-4.9000000000000004</c:v>
                </c:pt>
                <c:pt idx="12">
                  <c:v>-4.8</c:v>
                </c:pt>
                <c:pt idx="13">
                  <c:v>-4.7</c:v>
                </c:pt>
                <c:pt idx="14">
                  <c:v>-4.5999999999999996</c:v>
                </c:pt>
                <c:pt idx="15">
                  <c:v>-4.5</c:v>
                </c:pt>
                <c:pt idx="16">
                  <c:v>-4.4000000000000004</c:v>
                </c:pt>
                <c:pt idx="17">
                  <c:v>-4.3</c:v>
                </c:pt>
                <c:pt idx="18">
                  <c:v>-4.2</c:v>
                </c:pt>
                <c:pt idx="19">
                  <c:v>-4.0999999999999996</c:v>
                </c:pt>
                <c:pt idx="20">
                  <c:v>-4</c:v>
                </c:pt>
                <c:pt idx="21">
                  <c:v>-3.9</c:v>
                </c:pt>
                <c:pt idx="22">
                  <c:v>-3.8</c:v>
                </c:pt>
                <c:pt idx="23">
                  <c:v>-3.7</c:v>
                </c:pt>
                <c:pt idx="24">
                  <c:v>-3.6</c:v>
                </c:pt>
                <c:pt idx="25">
                  <c:v>-3.5</c:v>
                </c:pt>
                <c:pt idx="26">
                  <c:v>-3.4</c:v>
                </c:pt>
                <c:pt idx="27">
                  <c:v>-3.3</c:v>
                </c:pt>
                <c:pt idx="28">
                  <c:v>-3.2</c:v>
                </c:pt>
                <c:pt idx="29">
                  <c:v>-3.1</c:v>
                </c:pt>
                <c:pt idx="30">
                  <c:v>-3</c:v>
                </c:pt>
                <c:pt idx="31">
                  <c:v>-2.9</c:v>
                </c:pt>
                <c:pt idx="32">
                  <c:v>-2.8</c:v>
                </c:pt>
                <c:pt idx="33">
                  <c:v>-2.7</c:v>
                </c:pt>
                <c:pt idx="34">
                  <c:v>-2.6</c:v>
                </c:pt>
                <c:pt idx="35">
                  <c:v>-2.5</c:v>
                </c:pt>
                <c:pt idx="36">
                  <c:v>-2.4</c:v>
                </c:pt>
                <c:pt idx="37">
                  <c:v>-2.2999999999999998</c:v>
                </c:pt>
                <c:pt idx="38">
                  <c:v>-2.2000000000000002</c:v>
                </c:pt>
                <c:pt idx="39">
                  <c:v>-2.1</c:v>
                </c:pt>
                <c:pt idx="40">
                  <c:v>-2</c:v>
                </c:pt>
                <c:pt idx="41">
                  <c:v>-1.9</c:v>
                </c:pt>
                <c:pt idx="42">
                  <c:v>-1.8</c:v>
                </c:pt>
                <c:pt idx="43">
                  <c:v>-1.7</c:v>
                </c:pt>
                <c:pt idx="44">
                  <c:v>-1.6</c:v>
                </c:pt>
                <c:pt idx="45">
                  <c:v>-1.5</c:v>
                </c:pt>
                <c:pt idx="46">
                  <c:v>-1.4</c:v>
                </c:pt>
                <c:pt idx="47">
                  <c:v>-1.3</c:v>
                </c:pt>
                <c:pt idx="48">
                  <c:v>-1.2</c:v>
                </c:pt>
                <c:pt idx="49">
                  <c:v>-1.1000000000000001</c:v>
                </c:pt>
                <c:pt idx="50">
                  <c:v>-1</c:v>
                </c:pt>
                <c:pt idx="51">
                  <c:v>-0.9</c:v>
                </c:pt>
                <c:pt idx="52">
                  <c:v>-0.8</c:v>
                </c:pt>
                <c:pt idx="53">
                  <c:v>-0.7</c:v>
                </c:pt>
                <c:pt idx="54">
                  <c:v>-0.6</c:v>
                </c:pt>
                <c:pt idx="55">
                  <c:v>-0.5</c:v>
                </c:pt>
                <c:pt idx="56">
                  <c:v>-0.4</c:v>
                </c:pt>
                <c:pt idx="57">
                  <c:v>-0.3</c:v>
                </c:pt>
                <c:pt idx="58">
                  <c:v>-0.2</c:v>
                </c:pt>
                <c:pt idx="59">
                  <c:v>-0.1</c:v>
                </c:pt>
                <c:pt idx="60">
                  <c:v>0</c:v>
                </c:pt>
                <c:pt idx="61">
                  <c:v>0.1</c:v>
                </c:pt>
                <c:pt idx="62">
                  <c:v>0.2</c:v>
                </c:pt>
                <c:pt idx="63">
                  <c:v>0.3</c:v>
                </c:pt>
                <c:pt idx="64">
                  <c:v>0.4</c:v>
                </c:pt>
                <c:pt idx="65">
                  <c:v>0.5</c:v>
                </c:pt>
                <c:pt idx="66">
                  <c:v>0.6</c:v>
                </c:pt>
                <c:pt idx="67">
                  <c:v>0.7</c:v>
                </c:pt>
                <c:pt idx="68">
                  <c:v>0.8</c:v>
                </c:pt>
                <c:pt idx="69">
                  <c:v>0.9</c:v>
                </c:pt>
                <c:pt idx="70">
                  <c:v>1</c:v>
                </c:pt>
                <c:pt idx="71">
                  <c:v>1.1000000000000001</c:v>
                </c:pt>
                <c:pt idx="72">
                  <c:v>1.2</c:v>
                </c:pt>
                <c:pt idx="73">
                  <c:v>1.3</c:v>
                </c:pt>
                <c:pt idx="74">
                  <c:v>1.4</c:v>
                </c:pt>
                <c:pt idx="75">
                  <c:v>1.5</c:v>
                </c:pt>
                <c:pt idx="76">
                  <c:v>1.6</c:v>
                </c:pt>
                <c:pt idx="77">
                  <c:v>1.7</c:v>
                </c:pt>
                <c:pt idx="78">
                  <c:v>1.8</c:v>
                </c:pt>
                <c:pt idx="79">
                  <c:v>1.9</c:v>
                </c:pt>
                <c:pt idx="80">
                  <c:v>2</c:v>
                </c:pt>
                <c:pt idx="81">
                  <c:v>2.1</c:v>
                </c:pt>
                <c:pt idx="82">
                  <c:v>2.2000000000000002</c:v>
                </c:pt>
                <c:pt idx="83">
                  <c:v>2.2999999999999998</c:v>
                </c:pt>
                <c:pt idx="84">
                  <c:v>2.4</c:v>
                </c:pt>
                <c:pt idx="85">
                  <c:v>2.5</c:v>
                </c:pt>
                <c:pt idx="86">
                  <c:v>2.6</c:v>
                </c:pt>
                <c:pt idx="87">
                  <c:v>2.7</c:v>
                </c:pt>
                <c:pt idx="88">
                  <c:v>2.8</c:v>
                </c:pt>
                <c:pt idx="89">
                  <c:v>2.9</c:v>
                </c:pt>
                <c:pt idx="90">
                  <c:v>3</c:v>
                </c:pt>
                <c:pt idx="91">
                  <c:v>3.1</c:v>
                </c:pt>
                <c:pt idx="92">
                  <c:v>3.2</c:v>
                </c:pt>
                <c:pt idx="93">
                  <c:v>3.3</c:v>
                </c:pt>
                <c:pt idx="94">
                  <c:v>3.4</c:v>
                </c:pt>
                <c:pt idx="95">
                  <c:v>3.5</c:v>
                </c:pt>
                <c:pt idx="96">
                  <c:v>3.6</c:v>
                </c:pt>
                <c:pt idx="97">
                  <c:v>3.7</c:v>
                </c:pt>
                <c:pt idx="98">
                  <c:v>3.8</c:v>
                </c:pt>
                <c:pt idx="99">
                  <c:v>3.9</c:v>
                </c:pt>
                <c:pt idx="100">
                  <c:v>4</c:v>
                </c:pt>
                <c:pt idx="101">
                  <c:v>4.0999999999999996</c:v>
                </c:pt>
                <c:pt idx="102">
                  <c:v>4.2</c:v>
                </c:pt>
                <c:pt idx="103">
                  <c:v>4.3</c:v>
                </c:pt>
                <c:pt idx="104">
                  <c:v>4.4000000000000004</c:v>
                </c:pt>
                <c:pt idx="105">
                  <c:v>4.5</c:v>
                </c:pt>
                <c:pt idx="106">
                  <c:v>4.5999999999999996</c:v>
                </c:pt>
                <c:pt idx="107">
                  <c:v>4.7</c:v>
                </c:pt>
                <c:pt idx="108">
                  <c:v>4.8</c:v>
                </c:pt>
                <c:pt idx="109">
                  <c:v>4.9000000000000004</c:v>
                </c:pt>
                <c:pt idx="110">
                  <c:v>5</c:v>
                </c:pt>
                <c:pt idx="111">
                  <c:v>5.0999999999999996</c:v>
                </c:pt>
                <c:pt idx="112">
                  <c:v>5.2</c:v>
                </c:pt>
                <c:pt idx="113">
                  <c:v>5.3</c:v>
                </c:pt>
                <c:pt idx="114">
                  <c:v>5.4</c:v>
                </c:pt>
                <c:pt idx="115">
                  <c:v>5.5</c:v>
                </c:pt>
                <c:pt idx="116">
                  <c:v>5.6</c:v>
                </c:pt>
                <c:pt idx="117">
                  <c:v>5.7</c:v>
                </c:pt>
                <c:pt idx="118">
                  <c:v>5.8</c:v>
                </c:pt>
                <c:pt idx="119">
                  <c:v>5.9</c:v>
                </c:pt>
                <c:pt idx="120">
                  <c:v>6</c:v>
                </c:pt>
              </c:numCache>
            </c:numRef>
          </c:xVal>
          <c:yVal>
            <c:numRef>
              <c:f>'Chart Representing Result'!$D$2:$D$122</c:f>
              <c:numCache>
                <c:formatCode>General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4.5726253904749506E-2</c:v>
                </c:pt>
                <c:pt idx="82">
                  <c:v>3.7341933982152624E-2</c:v>
                </c:pt>
                <c:pt idx="83">
                  <c:v>3.0253713319987038E-2</c:v>
                </c:pt>
                <c:pt idx="84">
                  <c:v>2.432141914331569E-2</c:v>
                </c:pt>
                <c:pt idx="85">
                  <c:v>1.9404685823030898E-2</c:v>
                </c:pt>
                <c:pt idx="86">
                  <c:v>1.5367818661760801E-2</c:v>
                </c:pt>
                <c:pt idx="87">
                  <c:v>1.2083348069645566E-2</c:v>
                </c:pt>
                <c:pt idx="88">
                  <c:v>9.4343993289504949E-3</c:v>
                </c:pt>
                <c:pt idx="89">
                  <c:v>7.3160445707786542E-3</c:v>
                </c:pt>
                <c:pt idx="90">
                  <c:v>5.6358228039909836E-3</c:v>
                </c:pt>
                <c:pt idx="91">
                  <c:v>4.3136151870200434E-3</c:v>
                </c:pt>
                <c:pt idx="92">
                  <c:v>3.2810509466340023E-3</c:v>
                </c:pt>
                <c:pt idx="93">
                  <c:v>2.480598972525826E-3</c:v>
                </c:pt>
                <c:pt idx="94">
                  <c:v>1.8644751371879164E-3</c:v>
                </c:pt>
                <c:pt idx="95">
                  <c:v>1.393469016285972E-3</c:v>
                </c:pt>
                <c:pt idx="96">
                  <c:v>1.0357682837706321E-3</c:v>
                </c:pt>
                <c:pt idx="97">
                  <c:v>7.6583619522343452E-4</c:v>
                </c:pt>
                <c:pt idx="98">
                  <c:v>5.6337812649668738E-4</c:v>
                </c:pt>
                <c:pt idx="99">
                  <c:v>4.1241742610654501E-4</c:v>
                </c:pt>
                <c:pt idx="100">
                  <c:v>3.0048879186841103E-4</c:v>
                </c:pt>
                <c:pt idx="101">
                  <c:v>2.1794865574438071E-4</c:v>
                </c:pt>
                <c:pt idx="102">
                  <c:v>1.5739617156417042E-4</c:v>
                </c:pt>
                <c:pt idx="103">
                  <c:v>1.131948093796912E-4</c:v>
                </c:pt>
                <c:pt idx="104">
                  <c:v>8.1082738455573783E-5</c:v>
                </c:pt>
                <c:pt idx="105">
                  <c:v>5.785964920063367E-5</c:v>
                </c:pt>
                <c:pt idx="106">
                  <c:v>4.1138015398289399E-5</c:v>
                </c:pt>
                <c:pt idx="107">
                  <c:v>2.9147703735983035E-5</c:v>
                </c:pt>
                <c:pt idx="108">
                  <c:v>2.0584046546770546E-5</c:v>
                </c:pt>
                <c:pt idx="109">
                  <c:v>1.4490823233174142E-5</c:v>
                </c:pt>
                <c:pt idx="110">
                  <c:v>1.0170921082344813E-5</c:v>
                </c:pt>
                <c:pt idx="111">
                  <c:v>7.1186880294166468E-6</c:v>
                </c:pt>
                <c:pt idx="112">
                  <c:v>4.9691040415824793E-6</c:v>
                </c:pt>
                <c:pt idx="113">
                  <c:v>3.4598648055537705E-6</c:v>
                </c:pt>
                <c:pt idx="114">
                  <c:v>2.4032888592076432E-6</c:v>
                </c:pt>
                <c:pt idx="115">
                  <c:v>1.6656354096229385E-6</c:v>
                </c:pt>
                <c:pt idx="116">
                  <c:v>1.151968984898313E-6</c:v>
                </c:pt>
                <c:pt idx="117">
                  <c:v>7.9514559503888806E-7</c:v>
                </c:pt>
                <c:pt idx="118">
                  <c:v>5.4784049920871942E-7</c:v>
                </c:pt>
                <c:pt idx="119">
                  <c:v>3.7680635248419325E-7</c:v>
                </c:pt>
                <c:pt idx="120">
                  <c:v>2.5875713175679762E-7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F5-4CFC-813B-C17B0D3DD56F}"/>
            </c:ext>
          </c:extLst>
        </c:ser>
        <c:ser>
          <c:idx val="3"/>
          <c:order val="3"/>
          <c:tx>
            <c:v>t-stat</c:v>
          </c:tx>
          <c:spPr>
            <a:ln w="19050" cap="rnd">
              <a:solidFill>
                <a:srgbClr val="7030A0">
                  <a:alpha val="60000"/>
                </a:srgb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4.8499999999999996</c:v>
              </c:pt>
              <c:pt idx="1">
                <c:v>4.8499999999999996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0.39722648700000002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B4F5-4CFC-813B-C17B0D3DD56F}"/>
            </c:ext>
          </c:extLst>
        </c:ser>
        <c:ser>
          <c:idx val="4"/>
          <c:order val="4"/>
          <c:tx>
            <c:v>t-stat2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-4.8499999999999996</c:v>
              </c:pt>
              <c:pt idx="1">
                <c:v>-4.8499999999999996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0.39722648700000002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B4F5-4CFC-813B-C17B0D3DD56F}"/>
            </c:ext>
          </c:extLst>
        </c:ser>
        <c:ser>
          <c:idx val="5"/>
          <c:order val="5"/>
          <c:tx>
            <c:v>criticalLines</c:v>
          </c:tx>
          <c:spPr>
            <a:ln w="19050" cap="rnd">
              <a:solidFill>
                <a:srgbClr val="C00000">
                  <a:alpha val="60000"/>
                </a:srgb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-2.0017</c:v>
              </c:pt>
              <c:pt idx="1">
                <c:v>-2.0017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0.39722648700000002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8-B4F5-4CFC-813B-C17B0D3DD56F}"/>
            </c:ext>
          </c:extLst>
        </c:ser>
        <c:ser>
          <c:idx val="6"/>
          <c:order val="6"/>
          <c:tx>
            <c:v>criticalLines2</c:v>
          </c:tx>
          <c:spPr>
            <a:ln w="19050" cap="rnd">
              <a:solidFill>
                <a:srgbClr val="C00000">
                  <a:alpha val="60000"/>
                </a:srgbClr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2.0017</c:v>
              </c:pt>
              <c:pt idx="1">
                <c:v>2.0017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0.39722648700000002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9-B4F5-4CFC-813B-C17B0D3DD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26112"/>
        <c:axId val="138627072"/>
      </c:scatterChart>
      <c:valAx>
        <c:axId val="13862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138627072"/>
        <c:crosses val="autoZero"/>
        <c:crossBetween val="midCat"/>
      </c:valAx>
      <c:valAx>
        <c:axId val="13862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138626112"/>
        <c:crosses val="autoZero"/>
        <c:crossBetween val="midCat"/>
      </c:valAx>
      <c:spPr>
        <a:noFill/>
        <a:ln>
          <a:gradFill flip="none" rotWithShape="1">
            <a:gsLst>
              <a:gs pos="0">
                <a:schemeClr val="accent3">
                  <a:lumMod val="89000"/>
                </a:schemeClr>
              </a:gs>
              <a:gs pos="23000">
                <a:schemeClr val="accent3">
                  <a:lumMod val="89000"/>
                </a:schemeClr>
              </a:gs>
              <a:gs pos="69000">
                <a:schemeClr val="accent3">
                  <a:lumMod val="75000"/>
                </a:schemeClr>
              </a:gs>
              <a:gs pos="97000">
                <a:schemeClr val="accent3">
                  <a:lumMod val="70000"/>
                </a:schemeClr>
              </a:gs>
            </a:gsLst>
            <a:path path="circle">
              <a:fillToRect l="50000" t="50000" r="50000" b="50000"/>
            </a:path>
            <a:tileRect/>
          </a:gra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80962</xdr:rowOff>
    </xdr:from>
    <xdr:to>
      <xdr:col>10</xdr:col>
      <xdr:colOff>0</xdr:colOff>
      <xdr:row>17</xdr:row>
      <xdr:rowOff>52388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32D1FF9-561B-E6CF-BC24-C3EA609DB253}"/>
            </a:ext>
          </a:extLst>
        </xdr:cNvPr>
        <xdr:cNvSpPr txBox="1"/>
      </xdr:nvSpPr>
      <xdr:spPr>
        <a:xfrm>
          <a:off x="8148638" y="447675"/>
          <a:ext cx="3867150" cy="26908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The criteria</a:t>
          </a:r>
          <a:r>
            <a:rPr lang="en-CA" sz="1100" baseline="0"/>
            <a:t> for interpreting the F test is below. </a:t>
          </a:r>
        </a:p>
        <a:p>
          <a:endParaRPr lang="en-CA" sz="1100" baseline="0"/>
        </a:p>
        <a:p>
          <a:r>
            <a:rPr lang="en-CA" sz="1100" baseline="0"/>
            <a:t>If F &lt;F critical and p value is &gt;0.05 - assume equal variances</a:t>
          </a:r>
        </a:p>
        <a:p>
          <a:r>
            <a:rPr lang="en-CA" sz="1100" baseline="0"/>
            <a:t>If F&gt; F critical and p value is &lt;0.05 - assume unequal variances</a:t>
          </a:r>
        </a:p>
        <a:p>
          <a:r>
            <a:rPr lang="en-CA" sz="1100" baseline="0"/>
            <a:t>_________________________________</a:t>
          </a:r>
        </a:p>
        <a:p>
          <a:r>
            <a:rPr lang="en-CA" sz="1100" baseline="0"/>
            <a:t>According to our F Test, F critical is around 1.86 while the F value is 1.02 making F &lt; F Critical . </a:t>
          </a:r>
        </a:p>
        <a:p>
          <a:endParaRPr lang="en-CA" sz="1100" baseline="0"/>
        </a:p>
        <a:p>
          <a:r>
            <a:rPr lang="en-CA" sz="1100" baseline="0"/>
            <a:t>Additionally, the p - value is around 0.48 which is bigger than 0.05.</a:t>
          </a:r>
        </a:p>
        <a:p>
          <a:endParaRPr lang="en-CA" sz="1100" baseline="0"/>
        </a:p>
        <a:p>
          <a:r>
            <a:rPr lang="en-CA" sz="1100" b="1" baseline="0"/>
            <a:t>With this information, we can assume equal variances.</a:t>
          </a:r>
        </a:p>
        <a:p>
          <a:endParaRPr lang="en-A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</xdr:colOff>
      <xdr:row>4</xdr:row>
      <xdr:rowOff>66675</xdr:rowOff>
    </xdr:from>
    <xdr:to>
      <xdr:col>0</xdr:col>
      <xdr:colOff>3657599</xdr:colOff>
      <xdr:row>9</xdr:row>
      <xdr:rowOff>109537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197B84-F108-521E-3771-942008242BAE}"/>
            </a:ext>
          </a:extLst>
        </xdr:cNvPr>
        <xdr:cNvSpPr txBox="1"/>
      </xdr:nvSpPr>
      <xdr:spPr>
        <a:xfrm>
          <a:off x="71437" y="790575"/>
          <a:ext cx="3586162" cy="947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To</a:t>
          </a:r>
          <a:r>
            <a:rPr lang="en-CA" sz="1100" baseline="0"/>
            <a:t> perform the T-test, we must first determine if there is equal variance between the two samples. To do this, an F - Test can be conducted. Please check the F - Test Tab for that table.</a:t>
          </a:r>
        </a:p>
        <a:p>
          <a:endParaRPr lang="en-CA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1100" b="1" baseline="0"/>
            <a:t>Result: </a:t>
          </a:r>
          <a:r>
            <a:rPr lang="en-CA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can assume equal variances.</a:t>
          </a:r>
          <a:endParaRPr lang="en-AS">
            <a:effectLst/>
          </a:endParaRPr>
        </a:p>
        <a:p>
          <a:endParaRPr lang="en-AS" sz="1100" b="1"/>
        </a:p>
      </xdr:txBody>
    </xdr:sp>
    <xdr:clientData/>
  </xdr:twoCellAnchor>
  <xdr:twoCellAnchor>
    <xdr:from>
      <xdr:col>1</xdr:col>
      <xdr:colOff>889967</xdr:colOff>
      <xdr:row>2</xdr:row>
      <xdr:rowOff>126725</xdr:rowOff>
    </xdr:from>
    <xdr:to>
      <xdr:col>2</xdr:col>
      <xdr:colOff>1353379</xdr:colOff>
      <xdr:row>9</xdr:row>
      <xdr:rowOff>160061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D18E965-B37B-70F1-C143-B4648B7E4AA8}"/>
            </a:ext>
          </a:extLst>
        </xdr:cNvPr>
        <xdr:cNvSpPr txBox="1"/>
      </xdr:nvSpPr>
      <xdr:spPr>
        <a:xfrm>
          <a:off x="3060010" y="491160"/>
          <a:ext cx="2397402" cy="1308858"/>
        </a:xfrm>
        <a:prstGeom prst="rect">
          <a:avLst/>
        </a:prstGeom>
        <a:solidFill>
          <a:srgbClr val="CC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A T- test</a:t>
          </a:r>
          <a:r>
            <a:rPr lang="en-CA" sz="1100" baseline="0"/>
            <a:t> : Two Sample Assuming Equal Variances with a significance level of 0.05 was conducted to test this hypothesis. Plese refer back to the methods section of the report for more details into this selection.</a:t>
          </a:r>
        </a:p>
        <a:p>
          <a:endParaRPr lang="en-AS" sz="1100"/>
        </a:p>
      </xdr:txBody>
    </xdr:sp>
    <xdr:clientData/>
  </xdr:twoCellAnchor>
  <xdr:twoCellAnchor>
    <xdr:from>
      <xdr:col>0</xdr:col>
      <xdr:colOff>647700</xdr:colOff>
      <xdr:row>28</xdr:row>
      <xdr:rowOff>104775</xdr:rowOff>
    </xdr:from>
    <xdr:to>
      <xdr:col>2</xdr:col>
      <xdr:colOff>1051891</xdr:colOff>
      <xdr:row>34</xdr:row>
      <xdr:rowOff>111816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D3DF1A6-EEB4-0799-43A2-8C93689B5AC6}"/>
            </a:ext>
          </a:extLst>
        </xdr:cNvPr>
        <xdr:cNvSpPr txBox="1"/>
      </xdr:nvSpPr>
      <xdr:spPr>
        <a:xfrm>
          <a:off x="647700" y="5206862"/>
          <a:ext cx="4508224" cy="1100345"/>
        </a:xfrm>
        <a:prstGeom prst="rect">
          <a:avLst/>
        </a:prstGeom>
        <a:solidFill>
          <a:srgbClr val="FFCC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 b="1"/>
            <a:t>Summary</a:t>
          </a:r>
          <a:r>
            <a:rPr lang="en-CA" sz="1100" b="1" baseline="0"/>
            <a:t> of Findings: </a:t>
          </a:r>
          <a:r>
            <a:rPr lang="en-CA" sz="1100" b="0" baseline="0"/>
            <a:t>Since the P- value of this test,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9.70735E-06</a:t>
          </a:r>
          <a:r>
            <a:rPr lang="en-US"/>
            <a:t> </a:t>
          </a:r>
          <a:r>
            <a:rPr lang="en-CA" b="0" baseline="0"/>
            <a:t> </a:t>
          </a:r>
          <a:r>
            <a:rPr lang="en-CA" sz="1100" b="0" baseline="0"/>
            <a:t>is significantly smaller than 0.05, we reject the null hypothesis and conclude that there is a significant difference in the performance of the decison tree and neural network machine learning models. Please refer back to the report for a through analysis and hypothesis test.</a:t>
          </a:r>
          <a:endParaRPr lang="en-AS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645318</xdr:colOff>
      <xdr:row>101</xdr:row>
      <xdr:rowOff>104775</xdr:rowOff>
    </xdr:from>
    <xdr:to>
      <xdr:col>12</xdr:col>
      <xdr:colOff>35718</xdr:colOff>
      <xdr:row>116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1D526C-ABE7-2290-7E22-ED5470CA0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276225</xdr:colOff>
      <xdr:row>89</xdr:row>
      <xdr:rowOff>19050</xdr:rowOff>
    </xdr:from>
    <xdr:to>
      <xdr:col>11</xdr:col>
      <xdr:colOff>357187</xdr:colOff>
      <xdr:row>100</xdr:row>
      <xdr:rowOff>176213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3C25BE-7EE6-2B90-88EF-9018806A0E9D}"/>
            </a:ext>
          </a:extLst>
        </xdr:cNvPr>
        <xdr:cNvSpPr txBox="1"/>
      </xdr:nvSpPr>
      <xdr:spPr>
        <a:xfrm>
          <a:off x="9586913" y="16125825"/>
          <a:ext cx="3967162" cy="21478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CA" sz="1100" baseline="0"/>
        </a:p>
        <a:p>
          <a:r>
            <a:rPr lang="en-CA" sz="1100" baseline="0"/>
            <a:t>The chart below represents the t- test statistic and the critical values with the rejection regions. The t-test statistics which is around 4.85 is shown in the purple lines. The critical value which is  alpha is 0.05 for a two tailed t-test being 2.001 is shown in red. </a:t>
          </a:r>
        </a:p>
        <a:p>
          <a:endParaRPr lang="en-CA" sz="1100" baseline="0"/>
        </a:p>
        <a:p>
          <a:r>
            <a:rPr lang="en-CA" sz="1100" baseline="0"/>
            <a:t>This chart clearly shows the t-statistic falling in the rejection regions confirming out result of rejecting the null hypothesis.</a:t>
          </a:r>
          <a:endParaRPr lang="en-CA" sz="1100"/>
        </a:p>
        <a:p>
          <a:endParaRPr lang="en-A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73DE80-5FFD-46BA-A2F6-449711AACEA2}" name="Table1" displayName="Table1" ref="A1:E31" totalsRowShown="0">
  <autoFilter ref="A1:E31" xr:uid="{0D73DE80-5FFD-46BA-A2F6-449711AACEA2}"/>
  <tableColumns count="5">
    <tableColumn id="1" xr3:uid="{3FFC8EBF-4895-45F2-9802-157FB41FB627}" name="Trail Number"/>
    <tableColumn id="5" xr3:uid="{A981CE48-A535-4067-8B19-1C773F339131}" name="Correctly Classified Instances "/>
    <tableColumn id="2" xr3:uid="{079E2B58-C8DD-4F01-B7DD-0692E4787CC3}" name="Correctly Classified Instances in Percentage"/>
    <tableColumn id="3" xr3:uid="{41F6480F-4ADA-4FA6-8475-56542AD09608}" name="Incorrectly Classified Instances "/>
    <tableColumn id="6" xr3:uid="{24C4DCA3-8E71-4F22-B52F-B51D72AE699D}" name="Incorrectly Classified Instances in Percentage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E4E77B-1FE9-40CA-A295-A47059DE01F0}" name="Table2" displayName="Table2" ref="A1:E31" totalsRowShown="0">
  <autoFilter ref="A1:E31" xr:uid="{E3E4E77B-1FE9-40CA-A295-A47059DE01F0}"/>
  <tableColumns count="5">
    <tableColumn id="1" xr3:uid="{30A7F5E9-02E4-4EEA-AE32-76AD0CF7DA21}" name="Trail Number"/>
    <tableColumn id="2" xr3:uid="{1BFA4E27-6E54-42FF-9D75-72F3C9A82175}" name="Correctly Classified Instances "/>
    <tableColumn id="3" xr3:uid="{D23C512F-2DD0-49AA-91ED-5016B372E366}" name="Correctly Classified Instances in Percentage"/>
    <tableColumn id="4" xr3:uid="{060B937B-A956-4BBB-96F0-E2AFCF5AE939}" name="Incorrectly Classified Instances "/>
    <tableColumn id="5" xr3:uid="{E6B52294-21BB-49DA-9FC1-B140107E304B}" name="Incorrectly Classified Instances in Percentage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7C54DB-F4FC-4558-B46E-36FC9815B199}" name="Table4" displayName="Table4" ref="A2:C11" headerRowCount="0" totalsRowShown="0" dataDxfId="11" tableBorderDxfId="10">
  <tableColumns count="3">
    <tableColumn id="1" xr3:uid="{9EAFA932-D90E-4C13-AF33-2E348C19B2CF}" name="Column1" dataDxfId="9"/>
    <tableColumn id="2" xr3:uid="{06548E11-8BD2-4D23-9404-F58ACA70C6F0}" name="Column2" dataDxfId="8"/>
    <tableColumn id="3" xr3:uid="{ECDBE45A-5BFE-4A4A-BFE9-96C2F0DC2D71}" name="Column3" dataDxfId="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8F738A-F767-403B-9B6D-97529D673CAF}" name="Table6" displayName="Table6" ref="A14:C25" totalsRowShown="0" headerRowDxfId="6" dataDxfId="4" headerRowBorderDxfId="5" tableBorderDxfId="3">
  <autoFilter ref="A14:C25" xr:uid="{178F738A-F767-403B-9B6D-97529D673CAF}"/>
  <tableColumns count="3">
    <tableColumn id="1" xr3:uid="{1BBB93E6-9BD7-41F1-80F3-DA6888B4A2AE}" name="Statistic" dataDxfId="2"/>
    <tableColumn id="2" xr3:uid="{7688D69A-7ED7-4D0F-BD47-A6DB9B972BD9}" name="Decision Tree (J48)" dataDxfId="1"/>
    <tableColumn id="3" xr3:uid="{3F9A8F22-3167-4604-8729-F0D6679D72F6}" name="Neural Network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D832-85E8-4CFB-AD54-1FFCB3D77578}">
  <dimension ref="A1:E31"/>
  <sheetViews>
    <sheetView workbookViewId="0">
      <selection activeCell="E24" sqref="E24"/>
    </sheetView>
  </sheetViews>
  <sheetFormatPr defaultRowHeight="14.25" x14ac:dyDescent="0.45"/>
  <cols>
    <col min="1" max="1" width="22.59765625" customWidth="1"/>
    <col min="2" max="2" width="28.73046875" customWidth="1"/>
    <col min="3" max="3" width="38" customWidth="1"/>
    <col min="4" max="4" width="35.3984375" customWidth="1"/>
    <col min="5" max="5" width="47.9296875" customWidth="1"/>
  </cols>
  <sheetData>
    <row r="1" spans="1:5" x14ac:dyDescent="0.4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45">
      <c r="A2">
        <v>1</v>
      </c>
      <c r="B2">
        <v>66</v>
      </c>
      <c r="C2" s="1">
        <v>0.68041200000000002</v>
      </c>
      <c r="D2">
        <v>31</v>
      </c>
      <c r="E2" s="1">
        <v>0.31958799999999998</v>
      </c>
    </row>
    <row r="3" spans="1:5" x14ac:dyDescent="0.45">
      <c r="A3">
        <v>2</v>
      </c>
      <c r="B3">
        <v>64</v>
      </c>
      <c r="C3" s="1">
        <v>0.65979399999999999</v>
      </c>
      <c r="D3">
        <v>33</v>
      </c>
      <c r="E3" s="1">
        <v>0.34020600000000001</v>
      </c>
    </row>
    <row r="4" spans="1:5" x14ac:dyDescent="0.45">
      <c r="A4">
        <v>3</v>
      </c>
      <c r="B4">
        <v>8</v>
      </c>
      <c r="C4" s="1">
        <v>0.70103099999999996</v>
      </c>
      <c r="D4">
        <v>29</v>
      </c>
      <c r="E4" s="1">
        <v>0.29896899999999998</v>
      </c>
    </row>
    <row r="5" spans="1:5" x14ac:dyDescent="0.45">
      <c r="A5">
        <v>4</v>
      </c>
      <c r="B5">
        <v>73</v>
      </c>
      <c r="C5" s="1">
        <v>0.75257700000000005</v>
      </c>
      <c r="D5">
        <v>24</v>
      </c>
      <c r="E5" s="1">
        <v>0.247423</v>
      </c>
    </row>
    <row r="6" spans="1:5" x14ac:dyDescent="0.45">
      <c r="A6">
        <v>5</v>
      </c>
      <c r="B6">
        <v>71</v>
      </c>
      <c r="C6" s="1">
        <v>0.73195900000000003</v>
      </c>
      <c r="D6">
        <v>26</v>
      </c>
      <c r="E6" s="1">
        <v>0.26804099999999997</v>
      </c>
    </row>
    <row r="7" spans="1:5" x14ac:dyDescent="0.45">
      <c r="A7">
        <v>6</v>
      </c>
      <c r="B7">
        <v>75</v>
      </c>
      <c r="C7" s="1">
        <v>0.77319599999999999</v>
      </c>
      <c r="D7">
        <v>22</v>
      </c>
      <c r="E7" s="1">
        <v>0.22680400000000001</v>
      </c>
    </row>
    <row r="8" spans="1:5" x14ac:dyDescent="0.45">
      <c r="A8">
        <v>7</v>
      </c>
      <c r="B8">
        <v>66</v>
      </c>
      <c r="C8" s="1">
        <v>0.68041200000000002</v>
      </c>
      <c r="D8">
        <v>31</v>
      </c>
      <c r="E8" s="1">
        <v>0.31958799999999998</v>
      </c>
    </row>
    <row r="9" spans="1:5" x14ac:dyDescent="0.45">
      <c r="A9">
        <v>8</v>
      </c>
      <c r="B9">
        <v>66</v>
      </c>
      <c r="C9" s="1">
        <v>0.68041200000000002</v>
      </c>
      <c r="D9">
        <v>31</v>
      </c>
      <c r="E9" s="1">
        <v>0.31958799999999998</v>
      </c>
    </row>
    <row r="10" spans="1:5" x14ac:dyDescent="0.45">
      <c r="A10">
        <v>9</v>
      </c>
      <c r="B10">
        <v>72</v>
      </c>
      <c r="C10" s="1">
        <v>0.74226800000000004</v>
      </c>
      <c r="D10">
        <v>25</v>
      </c>
      <c r="E10" s="1">
        <v>0.25773200000000002</v>
      </c>
    </row>
    <row r="11" spans="1:5" x14ac:dyDescent="0.45">
      <c r="A11">
        <v>10</v>
      </c>
      <c r="B11">
        <v>71</v>
      </c>
      <c r="C11" s="1">
        <v>0.73195900000000003</v>
      </c>
      <c r="D11">
        <v>26</v>
      </c>
      <c r="E11" s="1">
        <v>0.26804099999999997</v>
      </c>
    </row>
    <row r="12" spans="1:5" x14ac:dyDescent="0.45">
      <c r="A12">
        <v>11</v>
      </c>
      <c r="B12">
        <v>67</v>
      </c>
      <c r="C12" s="1">
        <v>0.69072199999999995</v>
      </c>
      <c r="D12">
        <v>30</v>
      </c>
      <c r="E12" s="1">
        <v>0.309278</v>
      </c>
    </row>
    <row r="13" spans="1:5" x14ac:dyDescent="0.45">
      <c r="A13">
        <v>12</v>
      </c>
      <c r="B13">
        <v>69</v>
      </c>
      <c r="C13" s="1">
        <v>0.71133999999999997</v>
      </c>
      <c r="D13">
        <v>28</v>
      </c>
      <c r="E13" s="1">
        <v>0.28866000000000003</v>
      </c>
    </row>
    <row r="14" spans="1:5" x14ac:dyDescent="0.45">
      <c r="A14">
        <v>13</v>
      </c>
      <c r="B14">
        <v>71</v>
      </c>
      <c r="C14" s="1">
        <v>0.73195900000000003</v>
      </c>
      <c r="D14">
        <v>26</v>
      </c>
      <c r="E14" s="1">
        <v>0.26804099999999997</v>
      </c>
    </row>
    <row r="15" spans="1:5" x14ac:dyDescent="0.45">
      <c r="A15">
        <v>14</v>
      </c>
      <c r="B15">
        <v>67</v>
      </c>
      <c r="C15" s="1">
        <v>0.69072199999999995</v>
      </c>
      <c r="D15">
        <v>30</v>
      </c>
      <c r="E15" s="1">
        <v>0.309278</v>
      </c>
    </row>
    <row r="16" spans="1:5" x14ac:dyDescent="0.45">
      <c r="A16">
        <v>15</v>
      </c>
      <c r="B16">
        <v>73</v>
      </c>
      <c r="C16" s="1">
        <v>0.75257700000000005</v>
      </c>
      <c r="D16">
        <v>24</v>
      </c>
      <c r="E16" s="1">
        <v>0.247423</v>
      </c>
    </row>
    <row r="17" spans="1:5" x14ac:dyDescent="0.45">
      <c r="A17">
        <v>16</v>
      </c>
      <c r="B17">
        <v>71</v>
      </c>
      <c r="C17" s="1">
        <v>0.73195900000000003</v>
      </c>
      <c r="D17">
        <v>26</v>
      </c>
      <c r="E17" s="1">
        <v>0.26804099999999997</v>
      </c>
    </row>
    <row r="18" spans="1:5" x14ac:dyDescent="0.45">
      <c r="A18">
        <v>17</v>
      </c>
      <c r="B18">
        <v>69</v>
      </c>
      <c r="C18" s="1">
        <v>0.71133999999999997</v>
      </c>
      <c r="D18">
        <v>28</v>
      </c>
      <c r="E18" s="1">
        <v>0.28866000000000003</v>
      </c>
    </row>
    <row r="19" spans="1:5" x14ac:dyDescent="0.45">
      <c r="A19">
        <v>18</v>
      </c>
      <c r="B19">
        <v>62</v>
      </c>
      <c r="C19" s="1">
        <v>0.63917500000000005</v>
      </c>
      <c r="D19">
        <v>35</v>
      </c>
      <c r="E19" s="1">
        <v>0.36082500000000001</v>
      </c>
    </row>
    <row r="20" spans="1:5" x14ac:dyDescent="0.45">
      <c r="A20">
        <v>19</v>
      </c>
      <c r="B20">
        <v>65</v>
      </c>
      <c r="C20" s="1">
        <v>0.670103</v>
      </c>
      <c r="D20">
        <v>32</v>
      </c>
      <c r="E20" s="1">
        <v>0.329897</v>
      </c>
    </row>
    <row r="21" spans="1:5" x14ac:dyDescent="0.45">
      <c r="A21">
        <v>20</v>
      </c>
      <c r="B21">
        <v>59</v>
      </c>
      <c r="C21" s="1">
        <v>0.60824699999999998</v>
      </c>
      <c r="D21">
        <v>38</v>
      </c>
      <c r="E21" s="1">
        <v>0.39175300000000002</v>
      </c>
    </row>
    <row r="22" spans="1:5" x14ac:dyDescent="0.45">
      <c r="A22">
        <v>21</v>
      </c>
      <c r="B22">
        <v>67</v>
      </c>
      <c r="C22" s="1">
        <v>0.69072199999999995</v>
      </c>
      <c r="D22">
        <v>30</v>
      </c>
      <c r="E22" s="1">
        <v>0.309278</v>
      </c>
    </row>
    <row r="23" spans="1:5" x14ac:dyDescent="0.45">
      <c r="A23">
        <v>22</v>
      </c>
      <c r="B23">
        <v>70</v>
      </c>
      <c r="C23" s="1">
        <v>0.72164899999999998</v>
      </c>
      <c r="D23">
        <v>27</v>
      </c>
      <c r="E23" s="1">
        <v>0.27835100000000002</v>
      </c>
    </row>
    <row r="24" spans="1:5" x14ac:dyDescent="0.45">
      <c r="A24">
        <v>23</v>
      </c>
      <c r="B24">
        <v>66</v>
      </c>
      <c r="C24" s="1">
        <v>0.68041200000000002</v>
      </c>
      <c r="D24">
        <v>31</v>
      </c>
      <c r="E24" s="1">
        <v>0.31958799999999998</v>
      </c>
    </row>
    <row r="25" spans="1:5" x14ac:dyDescent="0.45">
      <c r="A25">
        <v>24</v>
      </c>
      <c r="B25">
        <v>72</v>
      </c>
      <c r="C25" s="1">
        <v>0.74226800000000004</v>
      </c>
      <c r="D25">
        <v>25</v>
      </c>
      <c r="E25" s="1">
        <v>0.25773200000000002</v>
      </c>
    </row>
    <row r="26" spans="1:5" x14ac:dyDescent="0.45">
      <c r="A26">
        <v>25</v>
      </c>
      <c r="B26">
        <v>71</v>
      </c>
      <c r="C26" s="1">
        <v>0.73195900000000003</v>
      </c>
      <c r="D26">
        <v>26</v>
      </c>
      <c r="E26" s="1">
        <v>0.26804099999999997</v>
      </c>
    </row>
    <row r="27" spans="1:5" x14ac:dyDescent="0.45">
      <c r="A27">
        <v>26</v>
      </c>
      <c r="B27">
        <v>64</v>
      </c>
      <c r="C27" s="1">
        <v>0.65979399999999999</v>
      </c>
      <c r="D27">
        <v>33</v>
      </c>
      <c r="E27" s="1">
        <v>0.34020600000000001</v>
      </c>
    </row>
    <row r="28" spans="1:5" x14ac:dyDescent="0.45">
      <c r="A28">
        <v>27</v>
      </c>
      <c r="B28">
        <v>66</v>
      </c>
      <c r="C28" s="1">
        <v>0.68041200000000002</v>
      </c>
      <c r="D28">
        <v>31</v>
      </c>
      <c r="E28" s="1">
        <v>0.31958799999999998</v>
      </c>
    </row>
    <row r="29" spans="1:5" x14ac:dyDescent="0.45">
      <c r="A29">
        <v>28</v>
      </c>
      <c r="B29">
        <v>72</v>
      </c>
      <c r="C29" s="1">
        <v>0.74226800000000004</v>
      </c>
      <c r="D29">
        <v>25</v>
      </c>
      <c r="E29" s="1">
        <v>0.25773200000000002</v>
      </c>
    </row>
    <row r="30" spans="1:5" x14ac:dyDescent="0.45">
      <c r="A30">
        <v>29</v>
      </c>
      <c r="B30">
        <v>66</v>
      </c>
      <c r="C30" s="1">
        <v>0.68041200000000002</v>
      </c>
      <c r="D30">
        <v>31</v>
      </c>
      <c r="E30" s="1">
        <v>0.31958799999999998</v>
      </c>
    </row>
    <row r="31" spans="1:5" x14ac:dyDescent="0.45">
      <c r="A31">
        <v>30</v>
      </c>
      <c r="B31">
        <v>62</v>
      </c>
      <c r="C31" s="1">
        <v>0.63917500000000005</v>
      </c>
      <c r="D31">
        <v>35</v>
      </c>
      <c r="E31" s="1">
        <v>0.36082500000000001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1158-B95F-42E1-A3ED-D5ED3A9FB878}">
  <dimension ref="A1:E31"/>
  <sheetViews>
    <sheetView workbookViewId="0">
      <selection activeCell="C29" sqref="C29"/>
    </sheetView>
  </sheetViews>
  <sheetFormatPr defaultRowHeight="14.25" x14ac:dyDescent="0.45"/>
  <cols>
    <col min="1" max="1" width="24.53125" customWidth="1"/>
    <col min="2" max="2" width="27.86328125" customWidth="1"/>
    <col min="3" max="3" width="46.265625" customWidth="1"/>
    <col min="4" max="4" width="37.33203125" customWidth="1"/>
    <col min="5" max="5" width="47" customWidth="1"/>
  </cols>
  <sheetData>
    <row r="1" spans="1:5" x14ac:dyDescent="0.4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45">
      <c r="A2">
        <v>1</v>
      </c>
      <c r="B2">
        <v>72</v>
      </c>
      <c r="C2" s="1">
        <v>0.74226800000000004</v>
      </c>
      <c r="D2">
        <v>25</v>
      </c>
      <c r="E2" s="1">
        <v>0.25773200000000002</v>
      </c>
    </row>
    <row r="3" spans="1:5" x14ac:dyDescent="0.45">
      <c r="A3">
        <v>2</v>
      </c>
      <c r="B3">
        <v>63</v>
      </c>
      <c r="C3" s="1">
        <v>0.64948499999999998</v>
      </c>
      <c r="D3">
        <v>34</v>
      </c>
      <c r="E3" s="1">
        <v>0.35051500000000002</v>
      </c>
    </row>
    <row r="4" spans="1:5" x14ac:dyDescent="0.45">
      <c r="A4">
        <v>3</v>
      </c>
      <c r="B4">
        <v>64</v>
      </c>
      <c r="C4" s="1">
        <v>0.65979399999999999</v>
      </c>
      <c r="D4">
        <v>33</v>
      </c>
      <c r="E4" s="1">
        <v>0.34020600000000001</v>
      </c>
    </row>
    <row r="5" spans="1:5" x14ac:dyDescent="0.45">
      <c r="A5">
        <v>4</v>
      </c>
      <c r="B5">
        <v>59</v>
      </c>
      <c r="C5" s="1">
        <v>0.60824699999999998</v>
      </c>
      <c r="D5">
        <v>38</v>
      </c>
      <c r="E5" s="1">
        <v>0.39175300000000002</v>
      </c>
    </row>
    <row r="6" spans="1:5" x14ac:dyDescent="0.45">
      <c r="A6">
        <v>5</v>
      </c>
      <c r="B6">
        <v>66</v>
      </c>
      <c r="C6" s="1">
        <v>0.68041200000000002</v>
      </c>
      <c r="D6">
        <v>31</v>
      </c>
      <c r="E6" s="1">
        <v>0.31958799999999998</v>
      </c>
    </row>
    <row r="7" spans="1:5" x14ac:dyDescent="0.45">
      <c r="A7">
        <v>6</v>
      </c>
      <c r="B7">
        <v>62</v>
      </c>
      <c r="C7" s="1">
        <v>0.63917500000000005</v>
      </c>
      <c r="D7">
        <v>35</v>
      </c>
      <c r="E7" s="1">
        <v>0.36082500000000001</v>
      </c>
    </row>
    <row r="8" spans="1:5" x14ac:dyDescent="0.45">
      <c r="A8">
        <v>7</v>
      </c>
      <c r="B8">
        <v>64</v>
      </c>
      <c r="C8" s="1">
        <v>0.65979399999999999</v>
      </c>
      <c r="D8">
        <v>33</v>
      </c>
      <c r="E8" s="1">
        <v>0.34020600000000001</v>
      </c>
    </row>
    <row r="9" spans="1:5" x14ac:dyDescent="0.45">
      <c r="A9">
        <v>8</v>
      </c>
      <c r="B9">
        <v>57</v>
      </c>
      <c r="C9" s="1">
        <v>0.58762899999999996</v>
      </c>
      <c r="D9">
        <v>40</v>
      </c>
      <c r="E9" s="1">
        <v>0.41237099999999999</v>
      </c>
    </row>
    <row r="10" spans="1:5" x14ac:dyDescent="0.45">
      <c r="A10">
        <v>9</v>
      </c>
      <c r="B10">
        <v>72</v>
      </c>
      <c r="C10" s="1">
        <v>0.74226800000000004</v>
      </c>
      <c r="D10">
        <v>25</v>
      </c>
      <c r="E10" s="1">
        <v>0.25773200000000002</v>
      </c>
    </row>
    <row r="11" spans="1:5" x14ac:dyDescent="0.45">
      <c r="A11">
        <v>10</v>
      </c>
      <c r="B11">
        <v>63</v>
      </c>
      <c r="C11" s="1">
        <v>0.64948499999999998</v>
      </c>
      <c r="D11">
        <v>34</v>
      </c>
      <c r="E11" s="1">
        <v>0.35051500000000002</v>
      </c>
    </row>
    <row r="12" spans="1:5" x14ac:dyDescent="0.45">
      <c r="A12">
        <v>11</v>
      </c>
      <c r="B12">
        <v>64</v>
      </c>
      <c r="C12" s="1">
        <v>0.65979399999999999</v>
      </c>
      <c r="D12">
        <v>33</v>
      </c>
      <c r="E12" s="1">
        <v>0.34020600000000001</v>
      </c>
    </row>
    <row r="13" spans="1:5" x14ac:dyDescent="0.45">
      <c r="A13">
        <v>12</v>
      </c>
      <c r="B13">
        <v>66</v>
      </c>
      <c r="C13" s="1">
        <v>0.68041200000000002</v>
      </c>
      <c r="D13">
        <v>31</v>
      </c>
      <c r="E13" s="1">
        <v>0.31958799999999998</v>
      </c>
    </row>
    <row r="14" spans="1:5" x14ac:dyDescent="0.45">
      <c r="A14">
        <v>13</v>
      </c>
      <c r="B14">
        <v>63</v>
      </c>
      <c r="C14" s="1">
        <v>0.64948499999999998</v>
      </c>
      <c r="D14">
        <v>34</v>
      </c>
      <c r="E14" s="1">
        <v>0.35051500000000002</v>
      </c>
    </row>
    <row r="15" spans="1:5" x14ac:dyDescent="0.45">
      <c r="A15">
        <v>14</v>
      </c>
      <c r="B15">
        <v>61</v>
      </c>
      <c r="C15" s="1">
        <v>0.62886600000000004</v>
      </c>
      <c r="D15">
        <v>36</v>
      </c>
      <c r="E15" s="1">
        <v>0.37113400000000002</v>
      </c>
    </row>
    <row r="16" spans="1:5" x14ac:dyDescent="0.45">
      <c r="A16">
        <v>15</v>
      </c>
      <c r="B16">
        <v>69</v>
      </c>
      <c r="C16" s="1">
        <v>0.71133999999999997</v>
      </c>
      <c r="D16">
        <v>28</v>
      </c>
      <c r="E16" s="1">
        <v>0.28866000000000003</v>
      </c>
    </row>
    <row r="17" spans="1:5" x14ac:dyDescent="0.45">
      <c r="A17">
        <v>16</v>
      </c>
      <c r="B17">
        <v>65</v>
      </c>
      <c r="C17" s="1">
        <v>0.670103</v>
      </c>
      <c r="D17">
        <v>32</v>
      </c>
      <c r="E17" s="1">
        <v>0.329897</v>
      </c>
    </row>
    <row r="18" spans="1:5" x14ac:dyDescent="0.45">
      <c r="A18">
        <v>17</v>
      </c>
      <c r="B18">
        <v>68</v>
      </c>
      <c r="C18" s="1">
        <v>0.70103099999999996</v>
      </c>
      <c r="D18">
        <v>29</v>
      </c>
      <c r="E18" s="1">
        <v>0.29896899999999998</v>
      </c>
    </row>
    <row r="19" spans="1:5" x14ac:dyDescent="0.45">
      <c r="A19">
        <v>18</v>
      </c>
      <c r="B19">
        <v>65</v>
      </c>
      <c r="C19" s="1">
        <v>0.670103</v>
      </c>
      <c r="D19">
        <v>32</v>
      </c>
      <c r="E19" s="1">
        <v>0.329897</v>
      </c>
    </row>
    <row r="20" spans="1:5" x14ac:dyDescent="0.45">
      <c r="A20">
        <v>19</v>
      </c>
      <c r="B20">
        <v>66</v>
      </c>
      <c r="C20" s="1">
        <v>0.68041200000000002</v>
      </c>
      <c r="D20">
        <v>31</v>
      </c>
      <c r="E20" s="1">
        <v>0.31958799999999998</v>
      </c>
    </row>
    <row r="21" spans="1:5" x14ac:dyDescent="0.45">
      <c r="A21">
        <v>20</v>
      </c>
      <c r="B21">
        <v>58</v>
      </c>
      <c r="C21" s="1">
        <v>0.59793799999999997</v>
      </c>
      <c r="D21">
        <v>39</v>
      </c>
      <c r="E21" s="1">
        <v>0.40206199999999997</v>
      </c>
    </row>
    <row r="22" spans="1:5" x14ac:dyDescent="0.45">
      <c r="A22">
        <v>21</v>
      </c>
      <c r="B22">
        <v>61</v>
      </c>
      <c r="C22" s="1">
        <v>0.62886600000000004</v>
      </c>
      <c r="D22">
        <v>36</v>
      </c>
      <c r="E22" s="1">
        <v>0.37113400000000002</v>
      </c>
    </row>
    <row r="23" spans="1:5" x14ac:dyDescent="0.45">
      <c r="A23">
        <v>22</v>
      </c>
      <c r="B23">
        <v>62</v>
      </c>
      <c r="C23" s="1">
        <v>0.63917500000000005</v>
      </c>
      <c r="D23">
        <v>35</v>
      </c>
      <c r="E23" s="1">
        <v>0.36082500000000001</v>
      </c>
    </row>
    <row r="24" spans="1:5" x14ac:dyDescent="0.45">
      <c r="A24">
        <v>23</v>
      </c>
      <c r="B24">
        <v>63</v>
      </c>
      <c r="C24" s="1">
        <v>0.64948499999999998</v>
      </c>
      <c r="D24">
        <v>34</v>
      </c>
      <c r="E24" s="1">
        <v>0.35051500000000002</v>
      </c>
    </row>
    <row r="25" spans="1:5" x14ac:dyDescent="0.45">
      <c r="A25">
        <v>24</v>
      </c>
      <c r="B25">
        <v>58</v>
      </c>
      <c r="C25" s="1">
        <v>0.59793799999999997</v>
      </c>
      <c r="D25">
        <v>39</v>
      </c>
      <c r="E25" s="1">
        <v>0.40206199999999997</v>
      </c>
    </row>
    <row r="26" spans="1:5" x14ac:dyDescent="0.45">
      <c r="A26">
        <v>25</v>
      </c>
      <c r="B26">
        <v>64</v>
      </c>
      <c r="C26" s="1">
        <v>0.65979399999999999</v>
      </c>
      <c r="D26">
        <v>33</v>
      </c>
      <c r="E26" s="1">
        <v>0.34020600000000001</v>
      </c>
    </row>
    <row r="27" spans="1:5" x14ac:dyDescent="0.45">
      <c r="A27">
        <v>26</v>
      </c>
      <c r="B27">
        <v>61</v>
      </c>
      <c r="C27" s="1">
        <v>0.62886600000000004</v>
      </c>
      <c r="D27">
        <v>36</v>
      </c>
      <c r="E27" s="1">
        <v>0.37113400000000002</v>
      </c>
    </row>
    <row r="28" spans="1:5" x14ac:dyDescent="0.45">
      <c r="A28">
        <v>27</v>
      </c>
      <c r="B28">
        <v>60</v>
      </c>
      <c r="C28" s="1">
        <v>0.61855700000000002</v>
      </c>
      <c r="D28">
        <v>37</v>
      </c>
      <c r="E28" s="1">
        <v>0.38144299999999998</v>
      </c>
    </row>
    <row r="29" spans="1:5" x14ac:dyDescent="0.45">
      <c r="A29">
        <v>28</v>
      </c>
      <c r="B29">
        <v>58</v>
      </c>
      <c r="C29" s="1">
        <v>0.59793799999999997</v>
      </c>
      <c r="D29">
        <v>39</v>
      </c>
      <c r="E29" s="1">
        <v>0.40206199999999997</v>
      </c>
    </row>
    <row r="30" spans="1:5" x14ac:dyDescent="0.45">
      <c r="A30">
        <v>29</v>
      </c>
      <c r="B30">
        <v>62</v>
      </c>
      <c r="C30" s="1">
        <v>0.63917500000000005</v>
      </c>
      <c r="D30">
        <v>35</v>
      </c>
      <c r="E30" s="1">
        <v>0.36082500000000001</v>
      </c>
    </row>
    <row r="31" spans="1:5" x14ac:dyDescent="0.45">
      <c r="A31">
        <v>30</v>
      </c>
      <c r="B31">
        <v>63</v>
      </c>
      <c r="C31" s="1">
        <v>0.64948499999999998</v>
      </c>
      <c r="D31">
        <v>34</v>
      </c>
      <c r="E31" s="1">
        <v>0.35051500000000002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46DA-615F-403E-AAA5-341E8CE95405}">
  <dimension ref="A2:C11"/>
  <sheetViews>
    <sheetView tabSelected="1" workbookViewId="0">
      <selection activeCell="C14" sqref="C14"/>
    </sheetView>
  </sheetViews>
  <sheetFormatPr defaultRowHeight="14.25" x14ac:dyDescent="0.45"/>
  <cols>
    <col min="1" max="1" width="25.265625" customWidth="1"/>
    <col min="2" max="2" width="28.06640625" customWidth="1"/>
    <col min="3" max="3" width="51.3984375" customWidth="1"/>
  </cols>
  <sheetData>
    <row r="2" spans="1:3" x14ac:dyDescent="0.45">
      <c r="A2" s="2" t="s">
        <v>6</v>
      </c>
    </row>
    <row r="3" spans="1:3" ht="14.65" thickBot="1" x14ac:dyDescent="0.5"/>
    <row r="4" spans="1:3" x14ac:dyDescent="0.45">
      <c r="A4" s="3"/>
      <c r="B4" s="3" t="s">
        <v>3</v>
      </c>
      <c r="C4" s="3" t="s">
        <v>3</v>
      </c>
    </row>
    <row r="5" spans="1:3" x14ac:dyDescent="0.45">
      <c r="A5" t="s">
        <v>7</v>
      </c>
      <c r="B5">
        <v>0.70137450000000001</v>
      </c>
      <c r="C5">
        <v>0.65257733333333323</v>
      </c>
    </row>
    <row r="6" spans="1:3" x14ac:dyDescent="0.45">
      <c r="A6" t="s">
        <v>8</v>
      </c>
      <c r="B6">
        <v>1.535464277982759E-3</v>
      </c>
      <c r="C6">
        <v>1.5036946651264375E-3</v>
      </c>
    </row>
    <row r="7" spans="1:3" x14ac:dyDescent="0.45">
      <c r="A7" t="s">
        <v>9</v>
      </c>
      <c r="B7">
        <v>30</v>
      </c>
      <c r="C7">
        <v>30</v>
      </c>
    </row>
    <row r="8" spans="1:3" x14ac:dyDescent="0.45">
      <c r="A8" t="s">
        <v>10</v>
      </c>
      <c r="B8">
        <v>29</v>
      </c>
      <c r="C8">
        <v>29</v>
      </c>
    </row>
    <row r="9" spans="1:3" x14ac:dyDescent="0.45">
      <c r="A9" t="s">
        <v>11</v>
      </c>
      <c r="B9">
        <v>1.0211277020482414</v>
      </c>
    </row>
    <row r="10" spans="1:3" x14ac:dyDescent="0.45">
      <c r="A10" t="s">
        <v>12</v>
      </c>
      <c r="B10">
        <v>0.47774585698462652</v>
      </c>
    </row>
    <row r="11" spans="1:3" x14ac:dyDescent="0.45">
      <c r="A11" t="s">
        <v>13</v>
      </c>
      <c r="B11">
        <v>1.8608114354760765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CEC2-71C6-4321-A4C1-3F363E042888}">
  <dimension ref="A2:H36"/>
  <sheetViews>
    <sheetView topLeftCell="A12" zoomScale="115" workbookViewId="0">
      <selection activeCell="C34" sqref="C34"/>
    </sheetView>
  </sheetViews>
  <sheetFormatPr defaultRowHeight="14.25" x14ac:dyDescent="0.45"/>
  <cols>
    <col min="1" max="1" width="30.3984375" customWidth="1"/>
    <col min="2" max="2" width="27.06640625" customWidth="1"/>
    <col min="3" max="3" width="26.06640625" customWidth="1"/>
  </cols>
  <sheetData>
    <row r="2" spans="1:8" x14ac:dyDescent="0.45">
      <c r="H2" s="2"/>
    </row>
    <row r="3" spans="1:8" x14ac:dyDescent="0.45">
      <c r="A3" s="2" t="s">
        <v>5</v>
      </c>
    </row>
    <row r="7" spans="1:8" x14ac:dyDescent="0.45">
      <c r="A7" s="2"/>
    </row>
    <row r="12" spans="1:8" x14ac:dyDescent="0.45">
      <c r="A12" t="s">
        <v>21</v>
      </c>
    </row>
    <row r="14" spans="1:8" x14ac:dyDescent="0.45">
      <c r="A14" s="4" t="s">
        <v>22</v>
      </c>
      <c r="B14" s="4" t="s">
        <v>27</v>
      </c>
      <c r="C14" s="4" t="s">
        <v>28</v>
      </c>
    </row>
    <row r="15" spans="1:8" x14ac:dyDescent="0.45">
      <c r="A15" t="s">
        <v>7</v>
      </c>
      <c r="B15">
        <v>0.70137450000000001</v>
      </c>
      <c r="C15">
        <v>0.65257733333333323</v>
      </c>
    </row>
    <row r="16" spans="1:8" x14ac:dyDescent="0.45">
      <c r="A16" t="s">
        <v>8</v>
      </c>
      <c r="B16">
        <v>1.535464277982759E-3</v>
      </c>
      <c r="C16">
        <v>1.5036946651264375E-3</v>
      </c>
    </row>
    <row r="17" spans="1:3" x14ac:dyDescent="0.45">
      <c r="A17" t="s">
        <v>9</v>
      </c>
      <c r="B17">
        <v>30</v>
      </c>
      <c r="C17">
        <v>30</v>
      </c>
    </row>
    <row r="18" spans="1:3" x14ac:dyDescent="0.45">
      <c r="A18" t="s">
        <v>20</v>
      </c>
      <c r="B18">
        <v>1.5195794715545984E-3</v>
      </c>
    </row>
    <row r="19" spans="1:3" x14ac:dyDescent="0.45">
      <c r="A19" t="s">
        <v>14</v>
      </c>
      <c r="B19">
        <v>0</v>
      </c>
    </row>
    <row r="20" spans="1:3" x14ac:dyDescent="0.45">
      <c r="A20" t="s">
        <v>10</v>
      </c>
      <c r="B20">
        <v>58</v>
      </c>
    </row>
    <row r="21" spans="1:3" x14ac:dyDescent="0.45">
      <c r="A21" t="s">
        <v>15</v>
      </c>
      <c r="B21">
        <v>4.8481776669071728</v>
      </c>
    </row>
    <row r="22" spans="1:3" x14ac:dyDescent="0.45">
      <c r="A22" t="s">
        <v>16</v>
      </c>
      <c r="B22">
        <v>4.8536759182440182E-6</v>
      </c>
    </row>
    <row r="23" spans="1:3" x14ac:dyDescent="0.45">
      <c r="A23" t="s">
        <v>17</v>
      </c>
      <c r="B23">
        <v>1.671552762454859</v>
      </c>
    </row>
    <row r="24" spans="1:3" x14ac:dyDescent="0.45">
      <c r="A24" s="5" t="s">
        <v>18</v>
      </c>
      <c r="B24" s="5">
        <v>9.7073518364880365E-6</v>
      </c>
      <c r="C24" s="5"/>
    </row>
    <row r="25" spans="1:3" x14ac:dyDescent="0.45">
      <c r="A25" t="s">
        <v>19</v>
      </c>
      <c r="B25">
        <v>2.0017174841452352</v>
      </c>
    </row>
    <row r="36" spans="1:1" x14ac:dyDescent="0.45">
      <c r="A36" s="2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61B4-2E66-4D5C-91B4-257B7BFC493B}">
  <dimension ref="A1:D124"/>
  <sheetViews>
    <sheetView topLeftCell="B90" workbookViewId="0">
      <selection activeCell="C98" sqref="C98"/>
    </sheetView>
  </sheetViews>
  <sheetFormatPr defaultRowHeight="14.25" x14ac:dyDescent="0.45"/>
  <cols>
    <col min="1" max="1" width="23.796875" customWidth="1"/>
    <col min="2" max="2" width="25.9296875" customWidth="1"/>
    <col min="3" max="3" width="36.265625" customWidth="1"/>
    <col min="4" max="4" width="35.265625" customWidth="1"/>
  </cols>
  <sheetData>
    <row r="1" spans="1:4" x14ac:dyDescent="0.45">
      <c r="A1" s="2" t="s">
        <v>23</v>
      </c>
      <c r="B1" t="s">
        <v>24</v>
      </c>
      <c r="C1" t="s">
        <v>25</v>
      </c>
      <c r="D1" t="s">
        <v>26</v>
      </c>
    </row>
    <row r="2" spans="1:4" x14ac:dyDescent="0.45">
      <c r="A2">
        <v>-6</v>
      </c>
      <c r="B2">
        <f>_xlfn.T.DIST(A2, 58, FALSE)</f>
        <v>2.5875713175679762E-7</v>
      </c>
      <c r="C2">
        <f>IF(A2&lt;=-2.001, B2, NA())</f>
        <v>2.5875713175679762E-7</v>
      </c>
      <c r="D2" t="e">
        <f>IF(A2&gt;=2.001, B2, NA())</f>
        <v>#N/A</v>
      </c>
    </row>
    <row r="3" spans="1:4" x14ac:dyDescent="0.45">
      <c r="A3">
        <v>-5.9</v>
      </c>
      <c r="B3">
        <f t="shared" ref="B3:B66" si="0">_xlfn.T.DIST(A3, 58, FALSE)</f>
        <v>3.7680635248419325E-7</v>
      </c>
      <c r="C3">
        <f t="shared" ref="C3:C66" si="1">IF(A3&lt;=-2.001, B3, NA())</f>
        <v>3.7680635248419325E-7</v>
      </c>
      <c r="D3" t="e">
        <f t="shared" ref="D3:D66" si="2">IF(A3&gt;=2.001, B3, NA())</f>
        <v>#N/A</v>
      </c>
    </row>
    <row r="4" spans="1:4" x14ac:dyDescent="0.45">
      <c r="A4">
        <v>-5.8</v>
      </c>
      <c r="B4">
        <f t="shared" si="0"/>
        <v>5.4784049920871942E-7</v>
      </c>
      <c r="C4">
        <f t="shared" si="1"/>
        <v>5.4784049920871942E-7</v>
      </c>
      <c r="D4" t="e">
        <f t="shared" si="2"/>
        <v>#N/A</v>
      </c>
    </row>
    <row r="5" spans="1:4" x14ac:dyDescent="0.45">
      <c r="A5">
        <v>-5.7</v>
      </c>
      <c r="B5">
        <f t="shared" si="0"/>
        <v>7.9514559503888806E-7</v>
      </c>
      <c r="C5">
        <f t="shared" si="1"/>
        <v>7.9514559503888806E-7</v>
      </c>
      <c r="D5" t="e">
        <f t="shared" si="2"/>
        <v>#N/A</v>
      </c>
    </row>
    <row r="6" spans="1:4" x14ac:dyDescent="0.45">
      <c r="A6">
        <v>-5.6</v>
      </c>
      <c r="B6">
        <f t="shared" si="0"/>
        <v>1.151968984898313E-6</v>
      </c>
      <c r="C6">
        <f t="shared" si="1"/>
        <v>1.151968984898313E-6</v>
      </c>
      <c r="D6" t="e">
        <f t="shared" si="2"/>
        <v>#N/A</v>
      </c>
    </row>
    <row r="7" spans="1:4" x14ac:dyDescent="0.45">
      <c r="A7">
        <v>-5.5</v>
      </c>
      <c r="B7">
        <f t="shared" si="0"/>
        <v>1.6656354096229385E-6</v>
      </c>
      <c r="C7">
        <f t="shared" si="1"/>
        <v>1.6656354096229385E-6</v>
      </c>
      <c r="D7" t="e">
        <f t="shared" si="2"/>
        <v>#N/A</v>
      </c>
    </row>
    <row r="8" spans="1:4" x14ac:dyDescent="0.45">
      <c r="A8">
        <v>-5.4</v>
      </c>
      <c r="B8">
        <f t="shared" si="0"/>
        <v>2.4032888592076432E-6</v>
      </c>
      <c r="C8">
        <f t="shared" si="1"/>
        <v>2.4032888592076432E-6</v>
      </c>
      <c r="D8" t="e">
        <f t="shared" si="2"/>
        <v>#N/A</v>
      </c>
    </row>
    <row r="9" spans="1:4" x14ac:dyDescent="0.45">
      <c r="A9">
        <v>-5.3</v>
      </c>
      <c r="B9">
        <f t="shared" si="0"/>
        <v>3.4598648055537705E-6</v>
      </c>
      <c r="C9">
        <f t="shared" si="1"/>
        <v>3.4598648055537705E-6</v>
      </c>
      <c r="D9" t="e">
        <f t="shared" si="2"/>
        <v>#N/A</v>
      </c>
    </row>
    <row r="10" spans="1:4" x14ac:dyDescent="0.45">
      <c r="A10">
        <v>-5.2</v>
      </c>
      <c r="B10">
        <f t="shared" si="0"/>
        <v>4.9691040415824793E-6</v>
      </c>
      <c r="C10">
        <f t="shared" si="1"/>
        <v>4.9691040415824793E-6</v>
      </c>
      <c r="D10" t="e">
        <f t="shared" si="2"/>
        <v>#N/A</v>
      </c>
    </row>
    <row r="11" spans="1:4" x14ac:dyDescent="0.45">
      <c r="A11">
        <v>-5.0999999999999996</v>
      </c>
      <c r="B11">
        <f t="shared" si="0"/>
        <v>7.1186880294166468E-6</v>
      </c>
      <c r="C11">
        <f t="shared" si="1"/>
        <v>7.1186880294166468E-6</v>
      </c>
      <c r="D11" t="e">
        <f t="shared" si="2"/>
        <v>#N/A</v>
      </c>
    </row>
    <row r="12" spans="1:4" x14ac:dyDescent="0.45">
      <c r="A12">
        <v>-5</v>
      </c>
      <c r="B12">
        <f t="shared" si="0"/>
        <v>1.0170921082344813E-5</v>
      </c>
      <c r="C12">
        <f t="shared" si="1"/>
        <v>1.0170921082344813E-5</v>
      </c>
      <c r="D12" t="e">
        <f t="shared" si="2"/>
        <v>#N/A</v>
      </c>
    </row>
    <row r="13" spans="1:4" x14ac:dyDescent="0.45">
      <c r="A13">
        <v>-4.9000000000000004</v>
      </c>
      <c r="B13">
        <f t="shared" si="0"/>
        <v>1.4490823233174142E-5</v>
      </c>
      <c r="C13">
        <f t="shared" si="1"/>
        <v>1.4490823233174142E-5</v>
      </c>
      <c r="D13" t="e">
        <f t="shared" si="2"/>
        <v>#N/A</v>
      </c>
    </row>
    <row r="14" spans="1:4" x14ac:dyDescent="0.45">
      <c r="A14">
        <v>-4.8</v>
      </c>
      <c r="B14">
        <f t="shared" si="0"/>
        <v>2.0584046546770546E-5</v>
      </c>
      <c r="C14">
        <f t="shared" si="1"/>
        <v>2.0584046546770546E-5</v>
      </c>
      <c r="D14" t="e">
        <f t="shared" si="2"/>
        <v>#N/A</v>
      </c>
    </row>
    <row r="15" spans="1:4" x14ac:dyDescent="0.45">
      <c r="A15">
        <v>-4.7</v>
      </c>
      <c r="B15">
        <f t="shared" si="0"/>
        <v>2.9147703735983035E-5</v>
      </c>
      <c r="C15">
        <f t="shared" si="1"/>
        <v>2.9147703735983035E-5</v>
      </c>
      <c r="D15" t="e">
        <f t="shared" si="2"/>
        <v>#N/A</v>
      </c>
    </row>
    <row r="16" spans="1:4" x14ac:dyDescent="0.45">
      <c r="A16">
        <v>-4.5999999999999996</v>
      </c>
      <c r="B16">
        <f t="shared" si="0"/>
        <v>4.1138015398289399E-5</v>
      </c>
      <c r="C16">
        <f t="shared" si="1"/>
        <v>4.1138015398289399E-5</v>
      </c>
      <c r="D16" t="e">
        <f t="shared" si="2"/>
        <v>#N/A</v>
      </c>
    </row>
    <row r="17" spans="1:4" x14ac:dyDescent="0.45">
      <c r="A17">
        <v>-4.5</v>
      </c>
      <c r="B17">
        <f t="shared" si="0"/>
        <v>5.785964920063367E-5</v>
      </c>
      <c r="C17">
        <f t="shared" si="1"/>
        <v>5.785964920063367E-5</v>
      </c>
      <c r="D17" t="e">
        <f t="shared" si="2"/>
        <v>#N/A</v>
      </c>
    </row>
    <row r="18" spans="1:4" x14ac:dyDescent="0.45">
      <c r="A18">
        <v>-4.4000000000000004</v>
      </c>
      <c r="B18">
        <f t="shared" si="0"/>
        <v>8.1082738455573783E-5</v>
      </c>
      <c r="C18">
        <f t="shared" si="1"/>
        <v>8.1082738455573783E-5</v>
      </c>
      <c r="D18" t="e">
        <f t="shared" si="2"/>
        <v>#N/A</v>
      </c>
    </row>
    <row r="19" spans="1:4" x14ac:dyDescent="0.45">
      <c r="A19">
        <v>-4.3</v>
      </c>
      <c r="B19">
        <f t="shared" si="0"/>
        <v>1.131948093796912E-4</v>
      </c>
      <c r="C19">
        <f t="shared" si="1"/>
        <v>1.131948093796912E-4</v>
      </c>
      <c r="D19" t="e">
        <f t="shared" si="2"/>
        <v>#N/A</v>
      </c>
    </row>
    <row r="20" spans="1:4" x14ac:dyDescent="0.45">
      <c r="A20">
        <v>-4.2</v>
      </c>
      <c r="B20">
        <f t="shared" si="0"/>
        <v>1.5739617156417042E-4</v>
      </c>
      <c r="C20">
        <f t="shared" si="1"/>
        <v>1.5739617156417042E-4</v>
      </c>
      <c r="D20" t="e">
        <f t="shared" si="2"/>
        <v>#N/A</v>
      </c>
    </row>
    <row r="21" spans="1:4" x14ac:dyDescent="0.45">
      <c r="A21">
        <v>-4.0999999999999996</v>
      </c>
      <c r="B21">
        <f t="shared" si="0"/>
        <v>2.1794865574438071E-4</v>
      </c>
      <c r="C21">
        <f t="shared" si="1"/>
        <v>2.1794865574438071E-4</v>
      </c>
      <c r="D21" t="e">
        <f t="shared" si="2"/>
        <v>#N/A</v>
      </c>
    </row>
    <row r="22" spans="1:4" x14ac:dyDescent="0.45">
      <c r="A22">
        <v>-4</v>
      </c>
      <c r="B22">
        <f t="shared" si="0"/>
        <v>3.0048879186841103E-4</v>
      </c>
      <c r="C22">
        <f t="shared" si="1"/>
        <v>3.0048879186841103E-4</v>
      </c>
      <c r="D22" t="e">
        <f t="shared" si="2"/>
        <v>#N/A</v>
      </c>
    </row>
    <row r="23" spans="1:4" x14ac:dyDescent="0.45">
      <c r="A23">
        <v>-3.9</v>
      </c>
      <c r="B23">
        <f t="shared" si="0"/>
        <v>4.1241742610654501E-4</v>
      </c>
      <c r="C23">
        <f t="shared" si="1"/>
        <v>4.1241742610654501E-4</v>
      </c>
      <c r="D23" t="e">
        <f t="shared" si="2"/>
        <v>#N/A</v>
      </c>
    </row>
    <row r="24" spans="1:4" x14ac:dyDescent="0.45">
      <c r="A24">
        <v>-3.8</v>
      </c>
      <c r="B24">
        <f t="shared" si="0"/>
        <v>5.6337812649668738E-4</v>
      </c>
      <c r="C24">
        <f t="shared" si="1"/>
        <v>5.6337812649668738E-4</v>
      </c>
      <c r="D24" t="e">
        <f t="shared" si="2"/>
        <v>#N/A</v>
      </c>
    </row>
    <row r="25" spans="1:4" x14ac:dyDescent="0.45">
      <c r="A25">
        <v>-3.7</v>
      </c>
      <c r="B25">
        <f t="shared" si="0"/>
        <v>7.6583619522343452E-4</v>
      </c>
      <c r="C25">
        <f t="shared" si="1"/>
        <v>7.6583619522343452E-4</v>
      </c>
      <c r="D25" t="e">
        <f t="shared" si="2"/>
        <v>#N/A</v>
      </c>
    </row>
    <row r="26" spans="1:4" x14ac:dyDescent="0.45">
      <c r="A26">
        <v>-3.6</v>
      </c>
      <c r="B26">
        <f t="shared" si="0"/>
        <v>1.0357682837706321E-3</v>
      </c>
      <c r="C26">
        <f t="shared" si="1"/>
        <v>1.0357682837706321E-3</v>
      </c>
      <c r="D26" t="e">
        <f t="shared" si="2"/>
        <v>#N/A</v>
      </c>
    </row>
    <row r="27" spans="1:4" x14ac:dyDescent="0.45">
      <c r="A27">
        <v>-3.5</v>
      </c>
      <c r="B27">
        <f t="shared" si="0"/>
        <v>1.393469016285972E-3</v>
      </c>
      <c r="C27">
        <f t="shared" si="1"/>
        <v>1.393469016285972E-3</v>
      </c>
      <c r="D27" t="e">
        <f t="shared" si="2"/>
        <v>#N/A</v>
      </c>
    </row>
    <row r="28" spans="1:4" x14ac:dyDescent="0.45">
      <c r="A28">
        <v>-3.4</v>
      </c>
      <c r="B28">
        <f t="shared" si="0"/>
        <v>1.8644751371879164E-3</v>
      </c>
      <c r="C28">
        <f t="shared" si="1"/>
        <v>1.8644751371879164E-3</v>
      </c>
      <c r="D28" t="e">
        <f t="shared" si="2"/>
        <v>#N/A</v>
      </c>
    </row>
    <row r="29" spans="1:4" x14ac:dyDescent="0.45">
      <c r="A29">
        <v>-3.3</v>
      </c>
      <c r="B29">
        <f t="shared" si="0"/>
        <v>2.480598972525826E-3</v>
      </c>
      <c r="C29">
        <f t="shared" si="1"/>
        <v>2.480598972525826E-3</v>
      </c>
      <c r="D29" t="e">
        <f t="shared" si="2"/>
        <v>#N/A</v>
      </c>
    </row>
    <row r="30" spans="1:4" x14ac:dyDescent="0.45">
      <c r="A30">
        <v>-3.2</v>
      </c>
      <c r="B30">
        <f t="shared" si="0"/>
        <v>3.2810509466340023E-3</v>
      </c>
      <c r="C30">
        <f t="shared" si="1"/>
        <v>3.2810509466340023E-3</v>
      </c>
      <c r="D30" t="e">
        <f t="shared" si="2"/>
        <v>#N/A</v>
      </c>
    </row>
    <row r="31" spans="1:4" x14ac:dyDescent="0.45">
      <c r="A31">
        <v>-3.1</v>
      </c>
      <c r="B31">
        <f t="shared" si="0"/>
        <v>4.3136151870200434E-3</v>
      </c>
      <c r="C31">
        <f t="shared" si="1"/>
        <v>4.3136151870200434E-3</v>
      </c>
      <c r="D31" t="e">
        <f t="shared" si="2"/>
        <v>#N/A</v>
      </c>
    </row>
    <row r="32" spans="1:4" x14ac:dyDescent="0.45">
      <c r="A32">
        <v>-3</v>
      </c>
      <c r="B32">
        <f t="shared" si="0"/>
        <v>5.6358228039909836E-3</v>
      </c>
      <c r="C32">
        <f t="shared" si="1"/>
        <v>5.6358228039909836E-3</v>
      </c>
      <c r="D32" t="e">
        <f t="shared" si="2"/>
        <v>#N/A</v>
      </c>
    </row>
    <row r="33" spans="1:4" x14ac:dyDescent="0.45">
      <c r="A33">
        <v>-2.9</v>
      </c>
      <c r="B33">
        <f t="shared" si="0"/>
        <v>7.3160445707786542E-3</v>
      </c>
      <c r="C33">
        <f t="shared" si="1"/>
        <v>7.3160445707786542E-3</v>
      </c>
      <c r="D33" t="e">
        <f t="shared" si="2"/>
        <v>#N/A</v>
      </c>
    </row>
    <row r="34" spans="1:4" x14ac:dyDescent="0.45">
      <c r="A34">
        <v>-2.8</v>
      </c>
      <c r="B34">
        <f t="shared" si="0"/>
        <v>9.4343993289504949E-3</v>
      </c>
      <c r="C34">
        <f t="shared" si="1"/>
        <v>9.4343993289504949E-3</v>
      </c>
      <c r="D34" t="e">
        <f t="shared" si="2"/>
        <v>#N/A</v>
      </c>
    </row>
    <row r="35" spans="1:4" x14ac:dyDescent="0.45">
      <c r="A35">
        <v>-2.7</v>
      </c>
      <c r="B35">
        <f t="shared" si="0"/>
        <v>1.2083348069645566E-2</v>
      </c>
      <c r="C35">
        <f t="shared" si="1"/>
        <v>1.2083348069645566E-2</v>
      </c>
      <c r="D35" t="e">
        <f t="shared" si="2"/>
        <v>#N/A</v>
      </c>
    </row>
    <row r="36" spans="1:4" x14ac:dyDescent="0.45">
      <c r="A36">
        <v>-2.6</v>
      </c>
      <c r="B36">
        <f t="shared" si="0"/>
        <v>1.5367818661760801E-2</v>
      </c>
      <c r="C36">
        <f t="shared" si="1"/>
        <v>1.5367818661760801E-2</v>
      </c>
      <c r="D36" t="e">
        <f t="shared" si="2"/>
        <v>#N/A</v>
      </c>
    </row>
    <row r="37" spans="1:4" x14ac:dyDescent="0.45">
      <c r="A37">
        <v>-2.5</v>
      </c>
      <c r="B37">
        <f t="shared" si="0"/>
        <v>1.9404685823030898E-2</v>
      </c>
      <c r="C37">
        <f t="shared" si="1"/>
        <v>1.9404685823030898E-2</v>
      </c>
      <c r="D37" t="e">
        <f t="shared" si="2"/>
        <v>#N/A</v>
      </c>
    </row>
    <row r="38" spans="1:4" x14ac:dyDescent="0.45">
      <c r="A38">
        <v>-2.4</v>
      </c>
      <c r="B38">
        <f t="shared" si="0"/>
        <v>2.432141914331569E-2</v>
      </c>
      <c r="C38">
        <f t="shared" si="1"/>
        <v>2.432141914331569E-2</v>
      </c>
      <c r="D38" t="e">
        <f t="shared" si="2"/>
        <v>#N/A</v>
      </c>
    </row>
    <row r="39" spans="1:4" x14ac:dyDescent="0.45">
      <c r="A39">
        <v>-2.2999999999999998</v>
      </c>
      <c r="B39">
        <f t="shared" si="0"/>
        <v>3.0253713319987038E-2</v>
      </c>
      <c r="C39">
        <f t="shared" si="1"/>
        <v>3.0253713319987038E-2</v>
      </c>
      <c r="D39" t="e">
        <f t="shared" si="2"/>
        <v>#N/A</v>
      </c>
    </row>
    <row r="40" spans="1:4" x14ac:dyDescent="0.45">
      <c r="A40">
        <v>-2.2000000000000002</v>
      </c>
      <c r="B40">
        <f t="shared" si="0"/>
        <v>3.7341933982152624E-2</v>
      </c>
      <c r="C40">
        <f t="shared" si="1"/>
        <v>3.7341933982152624E-2</v>
      </c>
      <c r="D40" t="e">
        <f t="shared" si="2"/>
        <v>#N/A</v>
      </c>
    </row>
    <row r="41" spans="1:4" x14ac:dyDescent="0.45">
      <c r="A41">
        <v>-2.1</v>
      </c>
      <c r="B41">
        <f t="shared" si="0"/>
        <v>4.5726253904749506E-2</v>
      </c>
      <c r="C41">
        <f t="shared" si="1"/>
        <v>4.5726253904749506E-2</v>
      </c>
      <c r="D41" t="e">
        <f t="shared" si="2"/>
        <v>#N/A</v>
      </c>
    </row>
    <row r="42" spans="1:4" x14ac:dyDescent="0.45">
      <c r="A42">
        <v>-2</v>
      </c>
      <c r="B42">
        <f t="shared" si="0"/>
        <v>5.5540421263435856E-2</v>
      </c>
      <c r="C42" t="e">
        <f t="shared" si="1"/>
        <v>#N/A</v>
      </c>
      <c r="D42" t="e">
        <f t="shared" si="2"/>
        <v>#N/A</v>
      </c>
    </row>
    <row r="43" spans="1:4" x14ac:dyDescent="0.45">
      <c r="A43">
        <v>-1.9</v>
      </c>
      <c r="B43">
        <f t="shared" si="0"/>
        <v>6.6904195104747932E-2</v>
      </c>
      <c r="C43" t="e">
        <f t="shared" si="1"/>
        <v>#N/A</v>
      </c>
      <c r="D43" t="e">
        <f t="shared" si="2"/>
        <v>#N/A</v>
      </c>
    </row>
    <row r="44" spans="1:4" x14ac:dyDescent="0.45">
      <c r="A44">
        <v>-1.8</v>
      </c>
      <c r="B44">
        <f t="shared" si="0"/>
        <v>7.9914601819336517E-2</v>
      </c>
      <c r="C44" t="e">
        <f t="shared" si="1"/>
        <v>#N/A</v>
      </c>
      <c r="D44" t="e">
        <f t="shared" si="2"/>
        <v>#N/A</v>
      </c>
    </row>
    <row r="45" spans="1:4" x14ac:dyDescent="0.45">
      <c r="A45">
        <v>-1.7</v>
      </c>
      <c r="B45">
        <f t="shared" si="0"/>
        <v>9.4636304954725289E-2</v>
      </c>
      <c r="C45" t="e">
        <f t="shared" si="1"/>
        <v>#N/A</v>
      </c>
      <c r="D45" t="e">
        <f t="shared" si="2"/>
        <v>#N/A</v>
      </c>
    </row>
    <row r="46" spans="1:4" x14ac:dyDescent="0.45">
      <c r="A46">
        <v>-1.6</v>
      </c>
      <c r="B46">
        <f t="shared" si="0"/>
        <v>0.11109153001320952</v>
      </c>
      <c r="C46" t="e">
        <f t="shared" si="1"/>
        <v>#N/A</v>
      </c>
      <c r="D46" t="e">
        <f t="shared" si="2"/>
        <v>#N/A</v>
      </c>
    </row>
    <row r="47" spans="1:4" x14ac:dyDescent="0.45">
      <c r="A47">
        <v>-1.5</v>
      </c>
      <c r="B47">
        <f t="shared" si="0"/>
        <v>0.12925013276820271</v>
      </c>
      <c r="C47" t="e">
        <f t="shared" si="1"/>
        <v>#N/A</v>
      </c>
      <c r="D47" t="e">
        <f t="shared" si="2"/>
        <v>#N/A</v>
      </c>
    </row>
    <row r="48" spans="1:4" x14ac:dyDescent="0.45">
      <c r="A48">
        <v>-1.4</v>
      </c>
      <c r="B48">
        <f t="shared" si="0"/>
        <v>0.14902052753253925</v>
      </c>
      <c r="C48" t="e">
        <f t="shared" si="1"/>
        <v>#N/A</v>
      </c>
      <c r="D48" t="e">
        <f t="shared" si="2"/>
        <v>#N/A</v>
      </c>
    </row>
    <row r="49" spans="1:4" x14ac:dyDescent="0.45">
      <c r="A49">
        <v>-1.3</v>
      </c>
      <c r="B49">
        <f t="shared" si="0"/>
        <v>0.17024228209372172</v>
      </c>
      <c r="C49" t="e">
        <f t="shared" si="1"/>
        <v>#N/A</v>
      </c>
      <c r="D49" t="e">
        <f t="shared" si="2"/>
        <v>#N/A</v>
      </c>
    </row>
    <row r="50" spans="1:4" x14ac:dyDescent="0.45">
      <c r="A50">
        <v>-1.2</v>
      </c>
      <c r="B50">
        <f t="shared" si="0"/>
        <v>0.19268121999645749</v>
      </c>
      <c r="C50" t="e">
        <f t="shared" si="1"/>
        <v>#N/A</v>
      </c>
      <c r="D50" t="e">
        <f t="shared" si="2"/>
        <v>#N/A</v>
      </c>
    </row>
    <row r="51" spans="1:4" x14ac:dyDescent="0.45">
      <c r="A51">
        <v>-1.1000000000000001</v>
      </c>
      <c r="B51">
        <f t="shared" si="0"/>
        <v>0.21602783227471542</v>
      </c>
      <c r="C51" t="e">
        <f t="shared" si="1"/>
        <v>#N/A</v>
      </c>
      <c r="D51" t="e">
        <f t="shared" si="2"/>
        <v>#N/A</v>
      </c>
    </row>
    <row r="52" spans="1:4" x14ac:dyDescent="0.45">
      <c r="A52">
        <v>-1</v>
      </c>
      <c r="B52">
        <f t="shared" si="0"/>
        <v>0.23989967864968492</v>
      </c>
      <c r="C52" t="e">
        <f t="shared" si="1"/>
        <v>#N/A</v>
      </c>
      <c r="D52" t="e">
        <f t="shared" si="2"/>
        <v>#N/A</v>
      </c>
    </row>
    <row r="53" spans="1:4" x14ac:dyDescent="0.45">
      <c r="A53">
        <v>-0.9</v>
      </c>
      <c r="B53">
        <f t="shared" si="0"/>
        <v>0.26384824956528008</v>
      </c>
      <c r="C53" t="e">
        <f t="shared" si="1"/>
        <v>#N/A</v>
      </c>
      <c r="D53" t="e">
        <f t="shared" si="2"/>
        <v>#N/A</v>
      </c>
    </row>
    <row r="54" spans="1:4" x14ac:dyDescent="0.45">
      <c r="A54">
        <v>-0.8</v>
      </c>
      <c r="B54">
        <f t="shared" si="0"/>
        <v>0.28737047212633798</v>
      </c>
      <c r="C54" t="e">
        <f t="shared" si="1"/>
        <v>#N/A</v>
      </c>
      <c r="D54" t="e">
        <f t="shared" si="2"/>
        <v>#N/A</v>
      </c>
    </row>
    <row r="55" spans="1:4" x14ac:dyDescent="0.45">
      <c r="A55">
        <v>-0.7</v>
      </c>
      <c r="B55">
        <f t="shared" si="0"/>
        <v>0.30992469283377022</v>
      </c>
      <c r="C55" t="e">
        <f t="shared" si="1"/>
        <v>#N/A</v>
      </c>
      <c r="D55" t="e">
        <f t="shared" si="2"/>
        <v>#N/A</v>
      </c>
    </row>
    <row r="56" spans="1:4" x14ac:dyDescent="0.45">
      <c r="A56">
        <v>-0.6</v>
      </c>
      <c r="B56">
        <f t="shared" si="0"/>
        <v>0.33095058616939965</v>
      </c>
      <c r="C56" t="e">
        <f t="shared" si="1"/>
        <v>#N/A</v>
      </c>
      <c r="D56" t="e">
        <f t="shared" si="2"/>
        <v>#N/A</v>
      </c>
    </row>
    <row r="57" spans="1:4" x14ac:dyDescent="0.45">
      <c r="A57">
        <v>-0.5</v>
      </c>
      <c r="B57">
        <f t="shared" si="0"/>
        <v>0.34989205701748638</v>
      </c>
      <c r="C57" t="e">
        <f t="shared" si="1"/>
        <v>#N/A</v>
      </c>
      <c r="D57" t="e">
        <f t="shared" si="2"/>
        <v>#N/A</v>
      </c>
    </row>
    <row r="58" spans="1:4" x14ac:dyDescent="0.45">
      <c r="A58">
        <v>-0.4</v>
      </c>
      <c r="B58">
        <f t="shared" si="0"/>
        <v>0.36622186761207792</v>
      </c>
      <c r="C58" t="e">
        <f t="shared" si="1"/>
        <v>#N/A</v>
      </c>
      <c r="D58" t="e">
        <f t="shared" si="2"/>
        <v>#N/A</v>
      </c>
    </row>
    <row r="59" spans="1:4" x14ac:dyDescent="0.45">
      <c r="A59">
        <v>-0.3</v>
      </c>
      <c r="B59">
        <f t="shared" si="0"/>
        <v>0.37946646680433938</v>
      </c>
      <c r="C59" t="e">
        <f t="shared" si="1"/>
        <v>#N/A</v>
      </c>
      <c r="D59" t="e">
        <f t="shared" si="2"/>
        <v>#N/A</v>
      </c>
    </row>
    <row r="60" spans="1:4" x14ac:dyDescent="0.45">
      <c r="A60">
        <v>-0.2</v>
      </c>
      <c r="B60">
        <f t="shared" si="0"/>
        <v>0.38922936576605044</v>
      </c>
      <c r="C60" t="e">
        <f t="shared" si="1"/>
        <v>#N/A</v>
      </c>
      <c r="D60" t="e">
        <f t="shared" si="2"/>
        <v>#N/A</v>
      </c>
    </row>
    <row r="61" spans="1:4" x14ac:dyDescent="0.45">
      <c r="A61">
        <v>-0.1</v>
      </c>
      <c r="B61">
        <f t="shared" si="0"/>
        <v>0.39521141356917977</v>
      </c>
      <c r="C61" t="e">
        <f t="shared" si="1"/>
        <v>#N/A</v>
      </c>
      <c r="D61" t="e">
        <f t="shared" si="2"/>
        <v>#N/A</v>
      </c>
    </row>
    <row r="62" spans="1:4" x14ac:dyDescent="0.45">
      <c r="A62">
        <v>0</v>
      </c>
      <c r="B62">
        <f t="shared" si="0"/>
        <v>0.39722648707490787</v>
      </c>
      <c r="C62" t="e">
        <f t="shared" si="1"/>
        <v>#N/A</v>
      </c>
      <c r="D62" t="e">
        <f t="shared" si="2"/>
        <v>#N/A</v>
      </c>
    </row>
    <row r="63" spans="1:4" x14ac:dyDescent="0.45">
      <c r="A63">
        <v>0.1</v>
      </c>
      <c r="B63">
        <f t="shared" si="0"/>
        <v>0.39521141356917977</v>
      </c>
      <c r="C63" t="e">
        <f t="shared" si="1"/>
        <v>#N/A</v>
      </c>
      <c r="D63" t="e">
        <f t="shared" si="2"/>
        <v>#N/A</v>
      </c>
    </row>
    <row r="64" spans="1:4" x14ac:dyDescent="0.45">
      <c r="A64">
        <v>0.2</v>
      </c>
      <c r="B64">
        <f t="shared" si="0"/>
        <v>0.38922936576605044</v>
      </c>
      <c r="C64" t="e">
        <f t="shared" si="1"/>
        <v>#N/A</v>
      </c>
      <c r="D64" t="e">
        <f t="shared" si="2"/>
        <v>#N/A</v>
      </c>
    </row>
    <row r="65" spans="1:4" x14ac:dyDescent="0.45">
      <c r="A65">
        <v>0.3</v>
      </c>
      <c r="B65">
        <f t="shared" si="0"/>
        <v>0.37946646680433938</v>
      </c>
      <c r="C65" t="e">
        <f t="shared" si="1"/>
        <v>#N/A</v>
      </c>
      <c r="D65" t="e">
        <f t="shared" si="2"/>
        <v>#N/A</v>
      </c>
    </row>
    <row r="66" spans="1:4" x14ac:dyDescent="0.45">
      <c r="A66">
        <v>0.4</v>
      </c>
      <c r="B66">
        <f t="shared" si="0"/>
        <v>0.36622186761207792</v>
      </c>
      <c r="C66" t="e">
        <f t="shared" si="1"/>
        <v>#N/A</v>
      </c>
      <c r="D66" t="e">
        <f t="shared" si="2"/>
        <v>#N/A</v>
      </c>
    </row>
    <row r="67" spans="1:4" x14ac:dyDescent="0.45">
      <c r="A67">
        <v>0.5</v>
      </c>
      <c r="B67">
        <f t="shared" ref="B67:B122" si="3">_xlfn.T.DIST(A67, 58, FALSE)</f>
        <v>0.34989205701748638</v>
      </c>
      <c r="C67" t="e">
        <f t="shared" ref="C67:C122" si="4">IF(A67&lt;=-2.001, B67, NA())</f>
        <v>#N/A</v>
      </c>
      <c r="D67" t="e">
        <f t="shared" ref="D67:D122" si="5">IF(A67&gt;=2.001, B67, NA())</f>
        <v>#N/A</v>
      </c>
    </row>
    <row r="68" spans="1:4" x14ac:dyDescent="0.45">
      <c r="A68">
        <v>0.6</v>
      </c>
      <c r="B68">
        <f t="shared" si="3"/>
        <v>0.33095058616939965</v>
      </c>
      <c r="C68" t="e">
        <f t="shared" si="4"/>
        <v>#N/A</v>
      </c>
      <c r="D68" t="e">
        <f t="shared" si="5"/>
        <v>#N/A</v>
      </c>
    </row>
    <row r="69" spans="1:4" x14ac:dyDescent="0.45">
      <c r="A69">
        <v>0.7</v>
      </c>
      <c r="B69">
        <f t="shared" si="3"/>
        <v>0.30992469283377022</v>
      </c>
      <c r="C69" t="e">
        <f t="shared" si="4"/>
        <v>#N/A</v>
      </c>
      <c r="D69" t="e">
        <f t="shared" si="5"/>
        <v>#N/A</v>
      </c>
    </row>
    <row r="70" spans="1:4" x14ac:dyDescent="0.45">
      <c r="A70">
        <v>0.8</v>
      </c>
      <c r="B70">
        <f t="shared" si="3"/>
        <v>0.28737047212633798</v>
      </c>
      <c r="C70" t="e">
        <f t="shared" si="4"/>
        <v>#N/A</v>
      </c>
      <c r="D70" t="e">
        <f t="shared" si="5"/>
        <v>#N/A</v>
      </c>
    </row>
    <row r="71" spans="1:4" x14ac:dyDescent="0.45">
      <c r="A71">
        <v>0.9</v>
      </c>
      <c r="B71">
        <f t="shared" si="3"/>
        <v>0.26384824956528008</v>
      </c>
      <c r="C71" t="e">
        <f t="shared" si="4"/>
        <v>#N/A</v>
      </c>
      <c r="D71" t="e">
        <f t="shared" si="5"/>
        <v>#N/A</v>
      </c>
    </row>
    <row r="72" spans="1:4" x14ac:dyDescent="0.45">
      <c r="A72">
        <v>1</v>
      </c>
      <c r="B72">
        <f t="shared" si="3"/>
        <v>0.23989967864968492</v>
      </c>
      <c r="C72" t="e">
        <f t="shared" si="4"/>
        <v>#N/A</v>
      </c>
      <c r="D72" t="e">
        <f t="shared" si="5"/>
        <v>#N/A</v>
      </c>
    </row>
    <row r="73" spans="1:4" x14ac:dyDescent="0.45">
      <c r="A73">
        <v>1.1000000000000001</v>
      </c>
      <c r="B73">
        <f t="shared" si="3"/>
        <v>0.21602783227471542</v>
      </c>
      <c r="C73" t="e">
        <f t="shared" si="4"/>
        <v>#N/A</v>
      </c>
      <c r="D73" t="e">
        <f t="shared" si="5"/>
        <v>#N/A</v>
      </c>
    </row>
    <row r="74" spans="1:4" x14ac:dyDescent="0.45">
      <c r="A74">
        <v>1.2</v>
      </c>
      <c r="B74">
        <f t="shared" si="3"/>
        <v>0.19268121999645749</v>
      </c>
      <c r="C74" t="e">
        <f t="shared" si="4"/>
        <v>#N/A</v>
      </c>
      <c r="D74" t="e">
        <f t="shared" si="5"/>
        <v>#N/A</v>
      </c>
    </row>
    <row r="75" spans="1:4" x14ac:dyDescent="0.45">
      <c r="A75">
        <v>1.3</v>
      </c>
      <c r="B75">
        <f t="shared" si="3"/>
        <v>0.17024228209372172</v>
      </c>
      <c r="C75" t="e">
        <f t="shared" si="4"/>
        <v>#N/A</v>
      </c>
      <c r="D75" t="e">
        <f t="shared" si="5"/>
        <v>#N/A</v>
      </c>
    </row>
    <row r="76" spans="1:4" x14ac:dyDescent="0.45">
      <c r="A76">
        <v>1.4</v>
      </c>
      <c r="B76">
        <f t="shared" si="3"/>
        <v>0.14902052753253925</v>
      </c>
      <c r="C76" t="e">
        <f t="shared" si="4"/>
        <v>#N/A</v>
      </c>
      <c r="D76" t="e">
        <f t="shared" si="5"/>
        <v>#N/A</v>
      </c>
    </row>
    <row r="77" spans="1:4" x14ac:dyDescent="0.45">
      <c r="A77">
        <v>1.5</v>
      </c>
      <c r="B77">
        <f t="shared" si="3"/>
        <v>0.12925013276820271</v>
      </c>
      <c r="C77" t="e">
        <f t="shared" si="4"/>
        <v>#N/A</v>
      </c>
      <c r="D77" t="e">
        <f t="shared" si="5"/>
        <v>#N/A</v>
      </c>
    </row>
    <row r="78" spans="1:4" x14ac:dyDescent="0.45">
      <c r="A78">
        <v>1.6</v>
      </c>
      <c r="B78">
        <f t="shared" si="3"/>
        <v>0.11109153001320952</v>
      </c>
      <c r="C78" t="e">
        <f t="shared" si="4"/>
        <v>#N/A</v>
      </c>
      <c r="D78" t="e">
        <f t="shared" si="5"/>
        <v>#N/A</v>
      </c>
    </row>
    <row r="79" spans="1:4" x14ac:dyDescent="0.45">
      <c r="A79">
        <v>1.7</v>
      </c>
      <c r="B79">
        <f t="shared" si="3"/>
        <v>9.4636304954725289E-2</v>
      </c>
      <c r="C79" t="e">
        <f t="shared" si="4"/>
        <v>#N/A</v>
      </c>
      <c r="D79" t="e">
        <f t="shared" si="5"/>
        <v>#N/A</v>
      </c>
    </row>
    <row r="80" spans="1:4" x14ac:dyDescent="0.45">
      <c r="A80">
        <v>1.8</v>
      </c>
      <c r="B80">
        <f t="shared" si="3"/>
        <v>7.9914601819336517E-2</v>
      </c>
      <c r="C80" t="e">
        <f t="shared" si="4"/>
        <v>#N/A</v>
      </c>
      <c r="D80" t="e">
        <f t="shared" si="5"/>
        <v>#N/A</v>
      </c>
    </row>
    <row r="81" spans="1:4" x14ac:dyDescent="0.45">
      <c r="A81">
        <v>1.9</v>
      </c>
      <c r="B81">
        <f t="shared" si="3"/>
        <v>6.6904195104747932E-2</v>
      </c>
      <c r="C81" t="e">
        <f t="shared" si="4"/>
        <v>#N/A</v>
      </c>
      <c r="D81" t="e">
        <f t="shared" si="5"/>
        <v>#N/A</v>
      </c>
    </row>
    <row r="82" spans="1:4" x14ac:dyDescent="0.45">
      <c r="A82">
        <v>2</v>
      </c>
      <c r="B82">
        <f t="shared" si="3"/>
        <v>5.5540421263435856E-2</v>
      </c>
      <c r="C82" t="e">
        <f t="shared" si="4"/>
        <v>#N/A</v>
      </c>
      <c r="D82" t="e">
        <f t="shared" si="5"/>
        <v>#N/A</v>
      </c>
    </row>
    <row r="83" spans="1:4" x14ac:dyDescent="0.45">
      <c r="A83">
        <v>2.1</v>
      </c>
      <c r="B83">
        <f t="shared" si="3"/>
        <v>4.5726253904749506E-2</v>
      </c>
      <c r="C83" t="e">
        <f t="shared" si="4"/>
        <v>#N/A</v>
      </c>
      <c r="D83">
        <f t="shared" si="5"/>
        <v>4.5726253904749506E-2</v>
      </c>
    </row>
    <row r="84" spans="1:4" x14ac:dyDescent="0.45">
      <c r="A84">
        <v>2.2000000000000002</v>
      </c>
      <c r="B84">
        <f t="shared" si="3"/>
        <v>3.7341933982152624E-2</v>
      </c>
      <c r="C84" t="e">
        <f t="shared" si="4"/>
        <v>#N/A</v>
      </c>
      <c r="D84">
        <f t="shared" si="5"/>
        <v>3.7341933982152624E-2</v>
      </c>
    </row>
    <row r="85" spans="1:4" x14ac:dyDescent="0.45">
      <c r="A85">
        <v>2.2999999999999998</v>
      </c>
      <c r="B85">
        <f t="shared" si="3"/>
        <v>3.0253713319987038E-2</v>
      </c>
      <c r="C85" t="e">
        <f t="shared" si="4"/>
        <v>#N/A</v>
      </c>
      <c r="D85">
        <f t="shared" si="5"/>
        <v>3.0253713319987038E-2</v>
      </c>
    </row>
    <row r="86" spans="1:4" x14ac:dyDescent="0.45">
      <c r="A86">
        <v>2.4</v>
      </c>
      <c r="B86">
        <f t="shared" si="3"/>
        <v>2.432141914331569E-2</v>
      </c>
      <c r="C86" t="e">
        <f t="shared" si="4"/>
        <v>#N/A</v>
      </c>
      <c r="D86">
        <f t="shared" si="5"/>
        <v>2.432141914331569E-2</v>
      </c>
    </row>
    <row r="87" spans="1:4" x14ac:dyDescent="0.45">
      <c r="A87">
        <v>2.5</v>
      </c>
      <c r="B87">
        <f t="shared" si="3"/>
        <v>1.9404685823030898E-2</v>
      </c>
      <c r="C87" t="e">
        <f t="shared" si="4"/>
        <v>#N/A</v>
      </c>
      <c r="D87">
        <f t="shared" si="5"/>
        <v>1.9404685823030898E-2</v>
      </c>
    </row>
    <row r="88" spans="1:4" x14ac:dyDescent="0.45">
      <c r="A88">
        <v>2.6</v>
      </c>
      <c r="B88">
        <f t="shared" si="3"/>
        <v>1.5367818661760801E-2</v>
      </c>
      <c r="C88" t="e">
        <f t="shared" si="4"/>
        <v>#N/A</v>
      </c>
      <c r="D88">
        <f t="shared" si="5"/>
        <v>1.5367818661760801E-2</v>
      </c>
    </row>
    <row r="89" spans="1:4" x14ac:dyDescent="0.45">
      <c r="A89">
        <v>2.7</v>
      </c>
      <c r="B89">
        <f t="shared" si="3"/>
        <v>1.2083348069645566E-2</v>
      </c>
      <c r="C89" t="e">
        <f t="shared" si="4"/>
        <v>#N/A</v>
      </c>
      <c r="D89">
        <f t="shared" si="5"/>
        <v>1.2083348069645566E-2</v>
      </c>
    </row>
    <row r="90" spans="1:4" x14ac:dyDescent="0.45">
      <c r="A90">
        <v>2.8</v>
      </c>
      <c r="B90">
        <f t="shared" si="3"/>
        <v>9.4343993289504949E-3</v>
      </c>
      <c r="C90" t="e">
        <f t="shared" si="4"/>
        <v>#N/A</v>
      </c>
      <c r="D90">
        <f t="shared" si="5"/>
        <v>9.4343993289504949E-3</v>
      </c>
    </row>
    <row r="91" spans="1:4" x14ac:dyDescent="0.45">
      <c r="A91">
        <v>2.9</v>
      </c>
      <c r="B91">
        <f t="shared" si="3"/>
        <v>7.3160445707786542E-3</v>
      </c>
      <c r="C91" t="e">
        <f t="shared" si="4"/>
        <v>#N/A</v>
      </c>
      <c r="D91">
        <f t="shared" si="5"/>
        <v>7.3160445707786542E-3</v>
      </c>
    </row>
    <row r="92" spans="1:4" x14ac:dyDescent="0.45">
      <c r="A92">
        <v>3</v>
      </c>
      <c r="B92">
        <f t="shared" si="3"/>
        <v>5.6358228039909836E-3</v>
      </c>
      <c r="C92" t="e">
        <f t="shared" si="4"/>
        <v>#N/A</v>
      </c>
      <c r="D92">
        <f t="shared" si="5"/>
        <v>5.6358228039909836E-3</v>
      </c>
    </row>
    <row r="93" spans="1:4" x14ac:dyDescent="0.45">
      <c r="A93">
        <v>3.1</v>
      </c>
      <c r="B93">
        <f t="shared" si="3"/>
        <v>4.3136151870200434E-3</v>
      </c>
      <c r="C93" t="e">
        <f t="shared" si="4"/>
        <v>#N/A</v>
      </c>
      <c r="D93">
        <f t="shared" si="5"/>
        <v>4.3136151870200434E-3</v>
      </c>
    </row>
    <row r="94" spans="1:4" x14ac:dyDescent="0.45">
      <c r="A94">
        <v>3.2</v>
      </c>
      <c r="B94">
        <f t="shared" si="3"/>
        <v>3.2810509466340023E-3</v>
      </c>
      <c r="C94" t="e">
        <f t="shared" si="4"/>
        <v>#N/A</v>
      </c>
      <c r="D94">
        <f t="shared" si="5"/>
        <v>3.2810509466340023E-3</v>
      </c>
    </row>
    <row r="95" spans="1:4" x14ac:dyDescent="0.45">
      <c r="A95">
        <v>3.3</v>
      </c>
      <c r="B95">
        <f t="shared" si="3"/>
        <v>2.480598972525826E-3</v>
      </c>
      <c r="C95" t="e">
        <f t="shared" si="4"/>
        <v>#N/A</v>
      </c>
      <c r="D95">
        <f t="shared" si="5"/>
        <v>2.480598972525826E-3</v>
      </c>
    </row>
    <row r="96" spans="1:4" x14ac:dyDescent="0.45">
      <c r="A96">
        <v>3.4</v>
      </c>
      <c r="B96">
        <f t="shared" si="3"/>
        <v>1.8644751371879164E-3</v>
      </c>
      <c r="C96" t="e">
        <f t="shared" si="4"/>
        <v>#N/A</v>
      </c>
      <c r="D96">
        <f t="shared" si="5"/>
        <v>1.8644751371879164E-3</v>
      </c>
    </row>
    <row r="97" spans="1:4" x14ac:dyDescent="0.45">
      <c r="A97">
        <v>3.5</v>
      </c>
      <c r="B97">
        <f t="shared" si="3"/>
        <v>1.393469016285972E-3</v>
      </c>
      <c r="C97" t="e">
        <f t="shared" si="4"/>
        <v>#N/A</v>
      </c>
      <c r="D97">
        <f t="shared" si="5"/>
        <v>1.393469016285972E-3</v>
      </c>
    </row>
    <row r="98" spans="1:4" x14ac:dyDescent="0.45">
      <c r="A98">
        <v>3.6</v>
      </c>
      <c r="B98">
        <f t="shared" si="3"/>
        <v>1.0357682837706321E-3</v>
      </c>
      <c r="C98" t="e">
        <f t="shared" si="4"/>
        <v>#N/A</v>
      </c>
      <c r="D98">
        <f t="shared" si="5"/>
        <v>1.0357682837706321E-3</v>
      </c>
    </row>
    <row r="99" spans="1:4" x14ac:dyDescent="0.45">
      <c r="A99">
        <v>3.7</v>
      </c>
      <c r="B99">
        <f t="shared" si="3"/>
        <v>7.6583619522343452E-4</v>
      </c>
      <c r="C99" t="e">
        <f t="shared" si="4"/>
        <v>#N/A</v>
      </c>
      <c r="D99">
        <f t="shared" si="5"/>
        <v>7.6583619522343452E-4</v>
      </c>
    </row>
    <row r="100" spans="1:4" x14ac:dyDescent="0.45">
      <c r="A100">
        <v>3.8</v>
      </c>
      <c r="B100">
        <f t="shared" si="3"/>
        <v>5.6337812649668738E-4</v>
      </c>
      <c r="C100" t="e">
        <f t="shared" si="4"/>
        <v>#N/A</v>
      </c>
      <c r="D100">
        <f t="shared" si="5"/>
        <v>5.6337812649668738E-4</v>
      </c>
    </row>
    <row r="101" spans="1:4" x14ac:dyDescent="0.45">
      <c r="A101">
        <v>3.9</v>
      </c>
      <c r="B101">
        <f t="shared" si="3"/>
        <v>4.1241742610654501E-4</v>
      </c>
      <c r="C101" t="e">
        <f t="shared" si="4"/>
        <v>#N/A</v>
      </c>
      <c r="D101">
        <f t="shared" si="5"/>
        <v>4.1241742610654501E-4</v>
      </c>
    </row>
    <row r="102" spans="1:4" x14ac:dyDescent="0.45">
      <c r="A102">
        <v>4</v>
      </c>
      <c r="B102">
        <f t="shared" si="3"/>
        <v>3.0048879186841103E-4</v>
      </c>
      <c r="C102" t="e">
        <f t="shared" si="4"/>
        <v>#N/A</v>
      </c>
      <c r="D102">
        <f t="shared" si="5"/>
        <v>3.0048879186841103E-4</v>
      </c>
    </row>
    <row r="103" spans="1:4" x14ac:dyDescent="0.45">
      <c r="A103">
        <v>4.0999999999999996</v>
      </c>
      <c r="B103">
        <f t="shared" si="3"/>
        <v>2.1794865574438071E-4</v>
      </c>
      <c r="C103" t="e">
        <f t="shared" si="4"/>
        <v>#N/A</v>
      </c>
      <c r="D103">
        <f t="shared" si="5"/>
        <v>2.1794865574438071E-4</v>
      </c>
    </row>
    <row r="104" spans="1:4" x14ac:dyDescent="0.45">
      <c r="A104">
        <v>4.2</v>
      </c>
      <c r="B104">
        <f t="shared" si="3"/>
        <v>1.5739617156417042E-4</v>
      </c>
      <c r="C104" t="e">
        <f t="shared" si="4"/>
        <v>#N/A</v>
      </c>
      <c r="D104">
        <f t="shared" si="5"/>
        <v>1.5739617156417042E-4</v>
      </c>
    </row>
    <row r="105" spans="1:4" x14ac:dyDescent="0.45">
      <c r="A105">
        <v>4.3</v>
      </c>
      <c r="B105">
        <f t="shared" si="3"/>
        <v>1.131948093796912E-4</v>
      </c>
      <c r="C105" t="e">
        <f t="shared" si="4"/>
        <v>#N/A</v>
      </c>
      <c r="D105">
        <f t="shared" si="5"/>
        <v>1.131948093796912E-4</v>
      </c>
    </row>
    <row r="106" spans="1:4" x14ac:dyDescent="0.45">
      <c r="A106">
        <v>4.4000000000000004</v>
      </c>
      <c r="B106">
        <f t="shared" si="3"/>
        <v>8.1082738455573783E-5</v>
      </c>
      <c r="C106" t="e">
        <f t="shared" si="4"/>
        <v>#N/A</v>
      </c>
      <c r="D106">
        <f t="shared" si="5"/>
        <v>8.1082738455573783E-5</v>
      </c>
    </row>
    <row r="107" spans="1:4" x14ac:dyDescent="0.45">
      <c r="A107">
        <v>4.5</v>
      </c>
      <c r="B107">
        <f t="shared" si="3"/>
        <v>5.785964920063367E-5</v>
      </c>
      <c r="C107" t="e">
        <f t="shared" si="4"/>
        <v>#N/A</v>
      </c>
      <c r="D107">
        <f t="shared" si="5"/>
        <v>5.785964920063367E-5</v>
      </c>
    </row>
    <row r="108" spans="1:4" x14ac:dyDescent="0.45">
      <c r="A108">
        <v>4.5999999999999996</v>
      </c>
      <c r="B108">
        <f t="shared" si="3"/>
        <v>4.1138015398289399E-5</v>
      </c>
      <c r="C108" t="e">
        <f t="shared" si="4"/>
        <v>#N/A</v>
      </c>
      <c r="D108">
        <f t="shared" si="5"/>
        <v>4.1138015398289399E-5</v>
      </c>
    </row>
    <row r="109" spans="1:4" x14ac:dyDescent="0.45">
      <c r="A109">
        <v>4.7</v>
      </c>
      <c r="B109">
        <f t="shared" si="3"/>
        <v>2.9147703735983035E-5</v>
      </c>
      <c r="C109" t="e">
        <f t="shared" si="4"/>
        <v>#N/A</v>
      </c>
      <c r="D109">
        <f t="shared" si="5"/>
        <v>2.9147703735983035E-5</v>
      </c>
    </row>
    <row r="110" spans="1:4" x14ac:dyDescent="0.45">
      <c r="A110">
        <v>4.8</v>
      </c>
      <c r="B110">
        <f t="shared" si="3"/>
        <v>2.0584046546770546E-5</v>
      </c>
      <c r="C110" t="e">
        <f t="shared" si="4"/>
        <v>#N/A</v>
      </c>
      <c r="D110">
        <f t="shared" si="5"/>
        <v>2.0584046546770546E-5</v>
      </c>
    </row>
    <row r="111" spans="1:4" x14ac:dyDescent="0.45">
      <c r="A111">
        <v>4.9000000000000004</v>
      </c>
      <c r="B111">
        <f t="shared" si="3"/>
        <v>1.4490823233174142E-5</v>
      </c>
      <c r="C111" t="e">
        <f t="shared" si="4"/>
        <v>#N/A</v>
      </c>
      <c r="D111">
        <f t="shared" si="5"/>
        <v>1.4490823233174142E-5</v>
      </c>
    </row>
    <row r="112" spans="1:4" x14ac:dyDescent="0.45">
      <c r="A112">
        <v>5</v>
      </c>
      <c r="B112">
        <f t="shared" si="3"/>
        <v>1.0170921082344813E-5</v>
      </c>
      <c r="C112" t="e">
        <f t="shared" si="4"/>
        <v>#N/A</v>
      </c>
      <c r="D112">
        <f t="shared" si="5"/>
        <v>1.0170921082344813E-5</v>
      </c>
    </row>
    <row r="113" spans="1:4" x14ac:dyDescent="0.45">
      <c r="A113">
        <v>5.0999999999999996</v>
      </c>
      <c r="B113">
        <f t="shared" si="3"/>
        <v>7.1186880294166468E-6</v>
      </c>
      <c r="C113" t="e">
        <f t="shared" si="4"/>
        <v>#N/A</v>
      </c>
      <c r="D113">
        <f t="shared" si="5"/>
        <v>7.1186880294166468E-6</v>
      </c>
    </row>
    <row r="114" spans="1:4" x14ac:dyDescent="0.45">
      <c r="A114">
        <v>5.2</v>
      </c>
      <c r="B114">
        <f t="shared" si="3"/>
        <v>4.9691040415824793E-6</v>
      </c>
      <c r="C114" t="e">
        <f t="shared" si="4"/>
        <v>#N/A</v>
      </c>
      <c r="D114">
        <f t="shared" si="5"/>
        <v>4.9691040415824793E-6</v>
      </c>
    </row>
    <row r="115" spans="1:4" x14ac:dyDescent="0.45">
      <c r="A115">
        <v>5.3</v>
      </c>
      <c r="B115">
        <f t="shared" si="3"/>
        <v>3.4598648055537705E-6</v>
      </c>
      <c r="C115" t="e">
        <f t="shared" si="4"/>
        <v>#N/A</v>
      </c>
      <c r="D115">
        <f t="shared" si="5"/>
        <v>3.4598648055537705E-6</v>
      </c>
    </row>
    <row r="116" spans="1:4" x14ac:dyDescent="0.45">
      <c r="A116">
        <v>5.4</v>
      </c>
      <c r="B116">
        <f t="shared" si="3"/>
        <v>2.4032888592076432E-6</v>
      </c>
      <c r="C116" t="e">
        <f t="shared" si="4"/>
        <v>#N/A</v>
      </c>
      <c r="D116">
        <f t="shared" si="5"/>
        <v>2.4032888592076432E-6</v>
      </c>
    </row>
    <row r="117" spans="1:4" x14ac:dyDescent="0.45">
      <c r="A117">
        <v>5.5</v>
      </c>
      <c r="B117">
        <f t="shared" si="3"/>
        <v>1.6656354096229385E-6</v>
      </c>
      <c r="C117" t="e">
        <f t="shared" si="4"/>
        <v>#N/A</v>
      </c>
      <c r="D117">
        <f t="shared" si="5"/>
        <v>1.6656354096229385E-6</v>
      </c>
    </row>
    <row r="118" spans="1:4" x14ac:dyDescent="0.45">
      <c r="A118">
        <v>5.6</v>
      </c>
      <c r="B118">
        <f t="shared" si="3"/>
        <v>1.151968984898313E-6</v>
      </c>
      <c r="C118" t="e">
        <f t="shared" si="4"/>
        <v>#N/A</v>
      </c>
      <c r="D118">
        <f t="shared" si="5"/>
        <v>1.151968984898313E-6</v>
      </c>
    </row>
    <row r="119" spans="1:4" x14ac:dyDescent="0.45">
      <c r="A119">
        <v>5.7</v>
      </c>
      <c r="B119">
        <f t="shared" si="3"/>
        <v>7.9514559503888806E-7</v>
      </c>
      <c r="C119" t="e">
        <f t="shared" si="4"/>
        <v>#N/A</v>
      </c>
      <c r="D119">
        <f t="shared" si="5"/>
        <v>7.9514559503888806E-7</v>
      </c>
    </row>
    <row r="120" spans="1:4" x14ac:dyDescent="0.45">
      <c r="A120">
        <v>5.8</v>
      </c>
      <c r="B120">
        <f t="shared" si="3"/>
        <v>5.4784049920871942E-7</v>
      </c>
      <c r="C120" t="e">
        <f t="shared" si="4"/>
        <v>#N/A</v>
      </c>
      <c r="D120">
        <f t="shared" si="5"/>
        <v>5.4784049920871942E-7</v>
      </c>
    </row>
    <row r="121" spans="1:4" x14ac:dyDescent="0.45">
      <c r="A121">
        <v>5.9</v>
      </c>
      <c r="B121">
        <f t="shared" si="3"/>
        <v>3.7680635248419325E-7</v>
      </c>
      <c r="C121" t="e">
        <f t="shared" si="4"/>
        <v>#N/A</v>
      </c>
      <c r="D121">
        <f t="shared" si="5"/>
        <v>3.7680635248419325E-7</v>
      </c>
    </row>
    <row r="122" spans="1:4" x14ac:dyDescent="0.45">
      <c r="A122">
        <v>6</v>
      </c>
      <c r="B122">
        <f t="shared" si="3"/>
        <v>2.5875713175679762E-7</v>
      </c>
      <c r="C122" t="e">
        <f t="shared" si="4"/>
        <v>#N/A</v>
      </c>
      <c r="D122">
        <f t="shared" si="5"/>
        <v>2.5875713175679762E-7</v>
      </c>
    </row>
    <row r="123" spans="1:4" x14ac:dyDescent="0.45">
      <c r="B123" t="s">
        <v>29</v>
      </c>
    </row>
    <row r="124" spans="1:4" x14ac:dyDescent="0.45">
      <c r="B124">
        <f>MAX(B2:B122)</f>
        <v>0.39722648707490787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J48 Decision Tree Data</vt:lpstr>
      <vt:lpstr>Neural Network Data</vt:lpstr>
      <vt:lpstr>F - Test</vt:lpstr>
      <vt:lpstr>Model Analysis</vt:lpstr>
      <vt:lpstr>Chart Representing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Harsheta Sharma</dc:creator>
  <cp:lastModifiedBy>Harsheta Sharma</cp:lastModifiedBy>
  <dcterms:created xsi:type="dcterms:W3CDTF">2025-04-05T05:12:55Z</dcterms:created>
  <dcterms:modified xsi:type="dcterms:W3CDTF">2025-12-15T04:00:04Z</dcterms:modified>
</cp:coreProperties>
</file>